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-KIIT\folder kiit\Ground Water Data_CGWA-Objective 2\"/>
    </mc:Choice>
  </mc:AlternateContent>
  <xr:revisionPtr revIDLastSave="0" documentId="13_ncr:1_{2FD50FD0-D87A-4A5B-9453-C7DA0012A9E2}" xr6:coauthVersionLast="47" xr6:coauthVersionMax="47" xr10:uidLastSave="{00000000-0000-0000-0000-000000000000}"/>
  <bookViews>
    <workbookView xWindow="-96" yWindow="0" windowWidth="11712" windowHeight="12336" activeTab="1" xr2:uid="{A98551DD-3EE3-4FE8-A845-6D691A0CA92C}"/>
  </bookViews>
  <sheets>
    <sheet name="Data_Premonsoon 2024" sheetId="3" r:id="rId1"/>
    <sheet name="Data_monsoon 2024" sheetId="2" r:id="rId2"/>
    <sheet name="Data_Postmonsoon 2024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18" i="4" l="1"/>
  <c r="BA18" i="4"/>
  <c r="AX18" i="4"/>
  <c r="AU18" i="4"/>
  <c r="AR18" i="4"/>
  <c r="AO18" i="4"/>
  <c r="AL18" i="4"/>
  <c r="AI18" i="4"/>
  <c r="AF18" i="4"/>
  <c r="AB18" i="4"/>
  <c r="AA18" i="4"/>
  <c r="X18" i="4"/>
  <c r="W18" i="4"/>
  <c r="BD17" i="4"/>
  <c r="BA17" i="4"/>
  <c r="AX17" i="4"/>
  <c r="AU17" i="4"/>
  <c r="AR17" i="4"/>
  <c r="AO17" i="4"/>
  <c r="AL17" i="4"/>
  <c r="AI17" i="4"/>
  <c r="AF17" i="4"/>
  <c r="AB17" i="4"/>
  <c r="AA17" i="4"/>
  <c r="AC17" i="4" s="1"/>
  <c r="X17" i="4"/>
  <c r="W17" i="4"/>
  <c r="BD16" i="4"/>
  <c r="BA16" i="4"/>
  <c r="AX16" i="4"/>
  <c r="AU16" i="4"/>
  <c r="AR16" i="4"/>
  <c r="AO16" i="4"/>
  <c r="AL16" i="4"/>
  <c r="AI16" i="4"/>
  <c r="AF16" i="4"/>
  <c r="AB16" i="4"/>
  <c r="AA16" i="4"/>
  <c r="X16" i="4"/>
  <c r="W16" i="4"/>
  <c r="BD15" i="4"/>
  <c r="BA15" i="4"/>
  <c r="AX15" i="4"/>
  <c r="AU15" i="4"/>
  <c r="AR15" i="4"/>
  <c r="AO15" i="4"/>
  <c r="AL15" i="4"/>
  <c r="AI15" i="4"/>
  <c r="AF15" i="4"/>
  <c r="AB15" i="4"/>
  <c r="AA15" i="4"/>
  <c r="X15" i="4"/>
  <c r="W15" i="4"/>
  <c r="Y15" i="4" s="1"/>
  <c r="BD14" i="4"/>
  <c r="BA14" i="4"/>
  <c r="AX14" i="4"/>
  <c r="AU14" i="4"/>
  <c r="AR14" i="4"/>
  <c r="AO14" i="4"/>
  <c r="AL14" i="4"/>
  <c r="AI14" i="4"/>
  <c r="AF14" i="4"/>
  <c r="AB14" i="4"/>
  <c r="AA14" i="4"/>
  <c r="X14" i="4"/>
  <c r="W14" i="4"/>
  <c r="BD13" i="4"/>
  <c r="BA13" i="4"/>
  <c r="AX13" i="4"/>
  <c r="AU13" i="4"/>
  <c r="AR13" i="4"/>
  <c r="AO13" i="4"/>
  <c r="AL13" i="4"/>
  <c r="AI13" i="4"/>
  <c r="AF13" i="4"/>
  <c r="AB13" i="4"/>
  <c r="AA13" i="4"/>
  <c r="AD13" i="4" s="1"/>
  <c r="X13" i="4"/>
  <c r="W13" i="4"/>
  <c r="BD12" i="4"/>
  <c r="BA12" i="4"/>
  <c r="AX12" i="4"/>
  <c r="AU12" i="4"/>
  <c r="AR12" i="4"/>
  <c r="AO12" i="4"/>
  <c r="AL12" i="4"/>
  <c r="AI12" i="4"/>
  <c r="AF12" i="4"/>
  <c r="AB12" i="4"/>
  <c r="AA12" i="4"/>
  <c r="X12" i="4"/>
  <c r="W12" i="4"/>
  <c r="BD11" i="4"/>
  <c r="BA11" i="4"/>
  <c r="AX11" i="4"/>
  <c r="AU11" i="4"/>
  <c r="AR11" i="4"/>
  <c r="AO11" i="4"/>
  <c r="AL11" i="4"/>
  <c r="AI11" i="4"/>
  <c r="AF11" i="4"/>
  <c r="AB11" i="4"/>
  <c r="AA11" i="4"/>
  <c r="X11" i="4"/>
  <c r="W11" i="4"/>
  <c r="BD10" i="4"/>
  <c r="BA10" i="4"/>
  <c r="AX10" i="4"/>
  <c r="AU10" i="4"/>
  <c r="AR10" i="4"/>
  <c r="AO10" i="4"/>
  <c r="AL10" i="4"/>
  <c r="AI10" i="4"/>
  <c r="AF10" i="4"/>
  <c r="AB10" i="4"/>
  <c r="AA10" i="4"/>
  <c r="X10" i="4"/>
  <c r="W10" i="4"/>
  <c r="Y10" i="4" s="1"/>
  <c r="BD9" i="4"/>
  <c r="BA9" i="4"/>
  <c r="AX9" i="4"/>
  <c r="AU9" i="4"/>
  <c r="AR9" i="4"/>
  <c r="AO9" i="4"/>
  <c r="AL9" i="4"/>
  <c r="AI9" i="4"/>
  <c r="AF9" i="4"/>
  <c r="AB9" i="4"/>
  <c r="AA9" i="4"/>
  <c r="X9" i="4"/>
  <c r="W9" i="4"/>
  <c r="BD8" i="4"/>
  <c r="BA8" i="4"/>
  <c r="AX8" i="4"/>
  <c r="AU8" i="4"/>
  <c r="AR8" i="4"/>
  <c r="AO8" i="4"/>
  <c r="AL8" i="4"/>
  <c r="AI8" i="4"/>
  <c r="AF8" i="4"/>
  <c r="AB8" i="4"/>
  <c r="AA8" i="4"/>
  <c r="X8" i="4"/>
  <c r="W8" i="4"/>
  <c r="BD7" i="4"/>
  <c r="BA7" i="4"/>
  <c r="AX7" i="4"/>
  <c r="AU7" i="4"/>
  <c r="AR7" i="4"/>
  <c r="AO7" i="4"/>
  <c r="AL7" i="4"/>
  <c r="AI7" i="4"/>
  <c r="AF7" i="4"/>
  <c r="AB7" i="4"/>
  <c r="AA7" i="4"/>
  <c r="X7" i="4"/>
  <c r="W7" i="4"/>
  <c r="BD6" i="4"/>
  <c r="BA6" i="4"/>
  <c r="AX6" i="4"/>
  <c r="AU6" i="4"/>
  <c r="AR6" i="4"/>
  <c r="AO6" i="4"/>
  <c r="AL6" i="4"/>
  <c r="AI6" i="4"/>
  <c r="AF6" i="4"/>
  <c r="AB6" i="4"/>
  <c r="AA6" i="4"/>
  <c r="X6" i="4"/>
  <c r="W6" i="4"/>
  <c r="BD5" i="4"/>
  <c r="BA5" i="4"/>
  <c r="AX5" i="4"/>
  <c r="AU5" i="4"/>
  <c r="AR5" i="4"/>
  <c r="AO5" i="4"/>
  <c r="AL5" i="4"/>
  <c r="AI5" i="4"/>
  <c r="AF5" i="4"/>
  <c r="AB5" i="4"/>
  <c r="AA5" i="4"/>
  <c r="AD5" i="4" s="1"/>
  <c r="X5" i="4"/>
  <c r="W5" i="4"/>
  <c r="BD4" i="4"/>
  <c r="BA4" i="4"/>
  <c r="AX4" i="4"/>
  <c r="AU4" i="4"/>
  <c r="AR4" i="4"/>
  <c r="AO4" i="4"/>
  <c r="AL4" i="4"/>
  <c r="AI4" i="4"/>
  <c r="AF4" i="4"/>
  <c r="X4" i="4"/>
  <c r="W4" i="4"/>
  <c r="AD18" i="4" l="1"/>
  <c r="BH8" i="4"/>
  <c r="AD10" i="4"/>
  <c r="Y17" i="4"/>
  <c r="BI14" i="4"/>
  <c r="BI13" i="4"/>
  <c r="Y6" i="4"/>
  <c r="AC13" i="4"/>
  <c r="AE13" i="4" s="1"/>
  <c r="AD8" i="4"/>
  <c r="BI5" i="4"/>
  <c r="AD6" i="4"/>
  <c r="AC9" i="4"/>
  <c r="Y14" i="4"/>
  <c r="BH18" i="4"/>
  <c r="AD11" i="4"/>
  <c r="Y4" i="4"/>
  <c r="AD7" i="4"/>
  <c r="Y16" i="4"/>
  <c r="BI16" i="4"/>
  <c r="BH17" i="4"/>
  <c r="BH5" i="4"/>
  <c r="BJ5" i="4" s="1"/>
  <c r="BH4" i="4"/>
  <c r="BI15" i="4"/>
  <c r="AC5" i="4"/>
  <c r="AE5" i="4" s="1"/>
  <c r="BH6" i="4"/>
  <c r="BI6" i="4"/>
  <c r="AD9" i="4"/>
  <c r="BH10" i="4"/>
  <c r="Y11" i="4"/>
  <c r="BI11" i="4"/>
  <c r="AC12" i="4"/>
  <c r="Y7" i="4"/>
  <c r="BI7" i="4"/>
  <c r="BH12" i="4"/>
  <c r="BH9" i="4"/>
  <c r="BH13" i="4"/>
  <c r="AC16" i="4"/>
  <c r="AD17" i="4"/>
  <c r="AE17" i="4" s="1"/>
  <c r="Y5" i="4"/>
  <c r="Y9" i="4"/>
  <c r="Y13" i="4"/>
  <c r="AD15" i="4"/>
  <c r="BH16" i="4"/>
  <c r="BK16" i="4" s="1"/>
  <c r="Y18" i="4"/>
  <c r="BI4" i="4"/>
  <c r="BH7" i="4"/>
  <c r="AC10" i="4"/>
  <c r="AE10" i="4" s="1"/>
  <c r="BH11" i="4"/>
  <c r="BK11" i="4" s="1"/>
  <c r="BI18" i="4"/>
  <c r="Y8" i="4"/>
  <c r="BI8" i="4"/>
  <c r="BJ8" i="4" s="1"/>
  <c r="BI9" i="4"/>
  <c r="BI10" i="4"/>
  <c r="Y12" i="4"/>
  <c r="BI12" i="4"/>
  <c r="AD14" i="4"/>
  <c r="BH15" i="4"/>
  <c r="AC18" i="4"/>
  <c r="AD12" i="4"/>
  <c r="BH14" i="4"/>
  <c r="BI17" i="4"/>
  <c r="BK4" i="4"/>
  <c r="BJ4" i="4"/>
  <c r="AC8" i="4"/>
  <c r="AC7" i="4"/>
  <c r="AC15" i="4"/>
  <c r="AD16" i="4"/>
  <c r="AC6" i="4"/>
  <c r="AC14" i="4"/>
  <c r="AC11" i="4"/>
  <c r="AE18" i="4" l="1"/>
  <c r="BK15" i="4"/>
  <c r="BJ18" i="4"/>
  <c r="BJ7" i="4"/>
  <c r="BJ14" i="4"/>
  <c r="BK13" i="4"/>
  <c r="BJ17" i="4"/>
  <c r="BL17" i="4" s="1"/>
  <c r="BM17" i="4" s="1"/>
  <c r="AE8" i="4"/>
  <c r="AE11" i="4"/>
  <c r="AE12" i="4"/>
  <c r="BK9" i="4"/>
  <c r="BJ12" i="4"/>
  <c r="BK8" i="4"/>
  <c r="BL8" i="4" s="1"/>
  <c r="BM8" i="4" s="1"/>
  <c r="AE16" i="4"/>
  <c r="BK7" i="4"/>
  <c r="BL7" i="4" s="1"/>
  <c r="BM7" i="4" s="1"/>
  <c r="AE9" i="4"/>
  <c r="AE6" i="4"/>
  <c r="BK6" i="4"/>
  <c r="BJ10" i="4"/>
  <c r="BK12" i="4"/>
  <c r="BL12" i="4" s="1"/>
  <c r="BM12" i="4" s="1"/>
  <c r="BK10" i="4"/>
  <c r="BJ9" i="4"/>
  <c r="BK5" i="4"/>
  <c r="BL5" i="4" s="1"/>
  <c r="BM5" i="4" s="1"/>
  <c r="BJ16" i="4"/>
  <c r="BL16" i="4" s="1"/>
  <c r="BM16" i="4" s="1"/>
  <c r="BK14" i="4"/>
  <c r="AE15" i="4"/>
  <c r="BJ6" i="4"/>
  <c r="AE7" i="4"/>
  <c r="BK17" i="4"/>
  <c r="BJ15" i="4"/>
  <c r="BK18" i="4"/>
  <c r="BJ13" i="4"/>
  <c r="BJ11" i="4"/>
  <c r="BL11" i="4" s="1"/>
  <c r="BM11" i="4" s="1"/>
  <c r="AE14" i="4"/>
  <c r="BL4" i="4"/>
  <c r="BM4" i="4" s="1"/>
  <c r="BL6" i="4" l="1"/>
  <c r="BM6" i="4" s="1"/>
  <c r="BL18" i="4"/>
  <c r="BM18" i="4" s="1"/>
  <c r="BL15" i="4"/>
  <c r="BM15" i="4" s="1"/>
  <c r="BL10" i="4"/>
  <c r="BM10" i="4" s="1"/>
  <c r="BL9" i="4"/>
  <c r="BM9" i="4" s="1"/>
  <c r="BL13" i="4"/>
  <c r="BM13" i="4" s="1"/>
  <c r="BL14" i="4"/>
  <c r="BM14" i="4" s="1"/>
  <c r="BE18" i="3"/>
  <c r="BB18" i="3"/>
  <c r="AY18" i="3"/>
  <c r="AV18" i="3"/>
  <c r="AS18" i="3"/>
  <c r="AP18" i="3"/>
  <c r="AM18" i="3"/>
  <c r="AJ18" i="3"/>
  <c r="AG18" i="3"/>
  <c r="AC18" i="3"/>
  <c r="AB18" i="3"/>
  <c r="Y18" i="3"/>
  <c r="X18" i="3"/>
  <c r="BE17" i="3"/>
  <c r="BB17" i="3"/>
  <c r="AY17" i="3"/>
  <c r="AV17" i="3"/>
  <c r="AS17" i="3"/>
  <c r="AP17" i="3"/>
  <c r="AM17" i="3"/>
  <c r="AJ17" i="3"/>
  <c r="AG17" i="3"/>
  <c r="AC17" i="3"/>
  <c r="AB17" i="3"/>
  <c r="Y17" i="3"/>
  <c r="X17" i="3"/>
  <c r="BE16" i="3"/>
  <c r="BB16" i="3"/>
  <c r="AY16" i="3"/>
  <c r="AV16" i="3"/>
  <c r="AS16" i="3"/>
  <c r="AP16" i="3"/>
  <c r="AM16" i="3"/>
  <c r="AJ16" i="3"/>
  <c r="AG16" i="3"/>
  <c r="AC16" i="3"/>
  <c r="AB16" i="3"/>
  <c r="Y16" i="3"/>
  <c r="X16" i="3"/>
  <c r="BE15" i="3"/>
  <c r="BB15" i="3"/>
  <c r="AY15" i="3"/>
  <c r="AV15" i="3"/>
  <c r="AS15" i="3"/>
  <c r="AP15" i="3"/>
  <c r="AM15" i="3"/>
  <c r="AJ15" i="3"/>
  <c r="AG15" i="3"/>
  <c r="AC15" i="3"/>
  <c r="AB15" i="3"/>
  <c r="Y15" i="3"/>
  <c r="X15" i="3"/>
  <c r="BE14" i="3"/>
  <c r="BB14" i="3"/>
  <c r="AY14" i="3"/>
  <c r="AV14" i="3"/>
  <c r="AS14" i="3"/>
  <c r="AP14" i="3"/>
  <c r="AM14" i="3"/>
  <c r="AJ14" i="3"/>
  <c r="AG14" i="3"/>
  <c r="AC14" i="3"/>
  <c r="AB14" i="3"/>
  <c r="Y14" i="3"/>
  <c r="X14" i="3"/>
  <c r="BE13" i="3"/>
  <c r="BB13" i="3"/>
  <c r="AY13" i="3"/>
  <c r="AV13" i="3"/>
  <c r="AS13" i="3"/>
  <c r="AP13" i="3"/>
  <c r="AM13" i="3"/>
  <c r="AJ13" i="3"/>
  <c r="AG13" i="3"/>
  <c r="AC13" i="3"/>
  <c r="AB13" i="3"/>
  <c r="Y13" i="3"/>
  <c r="X13" i="3"/>
  <c r="BE12" i="3"/>
  <c r="BB12" i="3"/>
  <c r="AY12" i="3"/>
  <c r="AV12" i="3"/>
  <c r="AS12" i="3"/>
  <c r="AP12" i="3"/>
  <c r="AM12" i="3"/>
  <c r="AJ12" i="3"/>
  <c r="AG12" i="3"/>
  <c r="AC12" i="3"/>
  <c r="AB12" i="3"/>
  <c r="Y12" i="3"/>
  <c r="X12" i="3"/>
  <c r="BE11" i="3"/>
  <c r="BB11" i="3"/>
  <c r="AY11" i="3"/>
  <c r="AV11" i="3"/>
  <c r="AS11" i="3"/>
  <c r="AP11" i="3"/>
  <c r="AM11" i="3"/>
  <c r="AJ11" i="3"/>
  <c r="AG11" i="3"/>
  <c r="AC11" i="3"/>
  <c r="AB11" i="3"/>
  <c r="Y11" i="3"/>
  <c r="X11" i="3"/>
  <c r="BE10" i="3"/>
  <c r="BB10" i="3"/>
  <c r="AY10" i="3"/>
  <c r="AV10" i="3"/>
  <c r="AS10" i="3"/>
  <c r="AP10" i="3"/>
  <c r="AM10" i="3"/>
  <c r="AJ10" i="3"/>
  <c r="AG10" i="3"/>
  <c r="AC10" i="3"/>
  <c r="AB10" i="3"/>
  <c r="Y10" i="3"/>
  <c r="X10" i="3"/>
  <c r="BE9" i="3"/>
  <c r="BB9" i="3"/>
  <c r="AY9" i="3"/>
  <c r="AV9" i="3"/>
  <c r="AS9" i="3"/>
  <c r="AP9" i="3"/>
  <c r="AM9" i="3"/>
  <c r="AJ9" i="3"/>
  <c r="AG9" i="3"/>
  <c r="AC9" i="3"/>
  <c r="AB9" i="3"/>
  <c r="Y9" i="3"/>
  <c r="X9" i="3"/>
  <c r="BE8" i="3"/>
  <c r="BB8" i="3"/>
  <c r="AY8" i="3"/>
  <c r="AV8" i="3"/>
  <c r="AS8" i="3"/>
  <c r="AP8" i="3"/>
  <c r="AM8" i="3"/>
  <c r="AJ8" i="3"/>
  <c r="AG8" i="3"/>
  <c r="AC8" i="3"/>
  <c r="AB8" i="3"/>
  <c r="Y8" i="3"/>
  <c r="X8" i="3"/>
  <c r="BE7" i="3"/>
  <c r="BB7" i="3"/>
  <c r="AY7" i="3"/>
  <c r="AV7" i="3"/>
  <c r="AS7" i="3"/>
  <c r="AP7" i="3"/>
  <c r="AM7" i="3"/>
  <c r="AJ7" i="3"/>
  <c r="AG7" i="3"/>
  <c r="AC7" i="3"/>
  <c r="AB7" i="3"/>
  <c r="Y7" i="3"/>
  <c r="X7" i="3"/>
  <c r="BE6" i="3"/>
  <c r="BB6" i="3"/>
  <c r="AY6" i="3"/>
  <c r="AV6" i="3"/>
  <c r="AS6" i="3"/>
  <c r="AP6" i="3"/>
  <c r="AM6" i="3"/>
  <c r="AJ6" i="3"/>
  <c r="AG6" i="3"/>
  <c r="AC6" i="3"/>
  <c r="AB6" i="3"/>
  <c r="Y6" i="3"/>
  <c r="X6" i="3"/>
  <c r="BE5" i="3"/>
  <c r="BB5" i="3"/>
  <c r="AY5" i="3"/>
  <c r="AV5" i="3"/>
  <c r="AS5" i="3"/>
  <c r="AP5" i="3"/>
  <c r="AM5" i="3"/>
  <c r="AJ5" i="3"/>
  <c r="AG5" i="3"/>
  <c r="AC5" i="3"/>
  <c r="AB5" i="3"/>
  <c r="Y5" i="3"/>
  <c r="X5" i="3"/>
  <c r="BE4" i="3"/>
  <c r="BB4" i="3"/>
  <c r="AY4" i="3"/>
  <c r="AV4" i="3"/>
  <c r="AS4" i="3"/>
  <c r="AP4" i="3"/>
  <c r="AM4" i="3"/>
  <c r="AJ4" i="3"/>
  <c r="AG4" i="3"/>
  <c r="Y4" i="3"/>
  <c r="X4" i="3"/>
  <c r="Z5" i="3" l="1"/>
  <c r="BJ5" i="3"/>
  <c r="BJ13" i="3"/>
  <c r="Z7" i="3"/>
  <c r="AE13" i="3"/>
  <c r="Z10" i="3"/>
  <c r="AD8" i="3"/>
  <c r="AD5" i="3"/>
  <c r="AE10" i="3"/>
  <c r="Z13" i="3"/>
  <c r="Z15" i="3"/>
  <c r="Z18" i="3"/>
  <c r="AD17" i="3"/>
  <c r="Z17" i="3"/>
  <c r="BJ4" i="3"/>
  <c r="AE12" i="3"/>
  <c r="BJ16" i="3"/>
  <c r="BJ12" i="3"/>
  <c r="BJ15" i="3"/>
  <c r="AE16" i="3"/>
  <c r="Z4" i="3"/>
  <c r="Z9" i="3"/>
  <c r="AE8" i="3"/>
  <c r="BI10" i="3"/>
  <c r="BJ18" i="3"/>
  <c r="AE6" i="3"/>
  <c r="Z8" i="3"/>
  <c r="AD9" i="3"/>
  <c r="Z11" i="3"/>
  <c r="AD15" i="3"/>
  <c r="BI14" i="3"/>
  <c r="AE17" i="3"/>
  <c r="BI17" i="3"/>
  <c r="BI7" i="3"/>
  <c r="Z12" i="3"/>
  <c r="BI6" i="3"/>
  <c r="AD16" i="3"/>
  <c r="BJ7" i="3"/>
  <c r="BJ8" i="3"/>
  <c r="AE9" i="3"/>
  <c r="BJ10" i="3"/>
  <c r="BJ9" i="3"/>
  <c r="BI13" i="3"/>
  <c r="BK13" i="3" s="1"/>
  <c r="BI5" i="3"/>
  <c r="BL5" i="3" s="1"/>
  <c r="BI9" i="3"/>
  <c r="AE11" i="3"/>
  <c r="BI12" i="3"/>
  <c r="Z14" i="3"/>
  <c r="BJ14" i="3"/>
  <c r="BI16" i="3"/>
  <c r="AE18" i="3"/>
  <c r="BI4" i="3"/>
  <c r="Z6" i="3"/>
  <c r="BJ6" i="3"/>
  <c r="AD7" i="3"/>
  <c r="BI8" i="3"/>
  <c r="BI11" i="3"/>
  <c r="BJ11" i="3"/>
  <c r="AE14" i="3"/>
  <c r="BI15" i="3"/>
  <c r="Z16" i="3"/>
  <c r="BJ17" i="3"/>
  <c r="BI18" i="3"/>
  <c r="AD14" i="3"/>
  <c r="AE15" i="3"/>
  <c r="AD13" i="3"/>
  <c r="AE5" i="3"/>
  <c r="AF5" i="3" s="1"/>
  <c r="AD12" i="3"/>
  <c r="AD6" i="3"/>
  <c r="AD11" i="3"/>
  <c r="AE7" i="3"/>
  <c r="AD10" i="3"/>
  <c r="AD18" i="3"/>
  <c r="BL10" i="3" l="1"/>
  <c r="AF10" i="3"/>
  <c r="AF13" i="3"/>
  <c r="AF8" i="3"/>
  <c r="BK17" i="3"/>
  <c r="AF9" i="3"/>
  <c r="AF6" i="3"/>
  <c r="BL17" i="3"/>
  <c r="BL18" i="3"/>
  <c r="AF12" i="3"/>
  <c r="BK10" i="3"/>
  <c r="BK16" i="3"/>
  <c r="BK6" i="3"/>
  <c r="BL11" i="3"/>
  <c r="BK18" i="3"/>
  <c r="AF16" i="3"/>
  <c r="AF17" i="3"/>
  <c r="BL12" i="3"/>
  <c r="BK15" i="3"/>
  <c r="BK4" i="3"/>
  <c r="BK9" i="3"/>
  <c r="BK7" i="3"/>
  <c r="BL6" i="3"/>
  <c r="AF18" i="3"/>
  <c r="AF15" i="3"/>
  <c r="AF14" i="3"/>
  <c r="BL13" i="3"/>
  <c r="BM13" i="3" s="1"/>
  <c r="BN13" i="3" s="1"/>
  <c r="BL16" i="3"/>
  <c r="BK12" i="3"/>
  <c r="BK11" i="3"/>
  <c r="BM11" i="3" s="1"/>
  <c r="BN11" i="3" s="1"/>
  <c r="BL8" i="3"/>
  <c r="BK14" i="3"/>
  <c r="AF11" i="3"/>
  <c r="BL15" i="3"/>
  <c r="BK5" i="3"/>
  <c r="BM5" i="3" s="1"/>
  <c r="BN5" i="3" s="1"/>
  <c r="BL9" i="3"/>
  <c r="BL4" i="3"/>
  <c r="BL14" i="3"/>
  <c r="BL7" i="3"/>
  <c r="BK8" i="3"/>
  <c r="AF7" i="3"/>
  <c r="BM10" i="3" l="1"/>
  <c r="BN10" i="3" s="1"/>
  <c r="BM15" i="3"/>
  <c r="BN15" i="3" s="1"/>
  <c r="BM17" i="3"/>
  <c r="BN17" i="3" s="1"/>
  <c r="BM4" i="3"/>
  <c r="BN4" i="3" s="1"/>
  <c r="BM12" i="3"/>
  <c r="BN12" i="3" s="1"/>
  <c r="BM9" i="3"/>
  <c r="BN9" i="3" s="1"/>
  <c r="BM16" i="3"/>
  <c r="BN16" i="3" s="1"/>
  <c r="BM18" i="3"/>
  <c r="BN18" i="3" s="1"/>
  <c r="BM6" i="3"/>
  <c r="BN6" i="3" s="1"/>
  <c r="BM7" i="3"/>
  <c r="BN7" i="3" s="1"/>
  <c r="BM14" i="3"/>
  <c r="BN14" i="3" s="1"/>
  <c r="BM8" i="3"/>
  <c r="BN8" i="3" s="1"/>
  <c r="W4" i="2"/>
  <c r="X4" i="2"/>
  <c r="AF4" i="2"/>
  <c r="AI4" i="2"/>
  <c r="AL4" i="2"/>
  <c r="AO4" i="2"/>
  <c r="AR4" i="2"/>
  <c r="AU4" i="2"/>
  <c r="AX4" i="2"/>
  <c r="BA4" i="2"/>
  <c r="BD4" i="2"/>
  <c r="W5" i="2"/>
  <c r="X5" i="2"/>
  <c r="AA5" i="2"/>
  <c r="AB5" i="2"/>
  <c r="AC5" i="2"/>
  <c r="AF5" i="2"/>
  <c r="AI5" i="2"/>
  <c r="AL5" i="2"/>
  <c r="AO5" i="2"/>
  <c r="AR5" i="2"/>
  <c r="AU5" i="2"/>
  <c r="AX5" i="2"/>
  <c r="BA5" i="2"/>
  <c r="BD5" i="2"/>
  <c r="W6" i="2"/>
  <c r="X6" i="2"/>
  <c r="AA6" i="2"/>
  <c r="AB6" i="2"/>
  <c r="AF6" i="2"/>
  <c r="AI6" i="2"/>
  <c r="AL6" i="2"/>
  <c r="AO6" i="2"/>
  <c r="AR6" i="2"/>
  <c r="AU6" i="2"/>
  <c r="AX6" i="2"/>
  <c r="BA6" i="2"/>
  <c r="BD6" i="2"/>
  <c r="W7" i="2"/>
  <c r="X7" i="2"/>
  <c r="Y7" i="2" s="1"/>
  <c r="AA7" i="2"/>
  <c r="AB7" i="2"/>
  <c r="AF7" i="2"/>
  <c r="AI7" i="2"/>
  <c r="AL7" i="2"/>
  <c r="AO7" i="2"/>
  <c r="AR7" i="2"/>
  <c r="AU7" i="2"/>
  <c r="AX7" i="2"/>
  <c r="BA7" i="2"/>
  <c r="BD7" i="2"/>
  <c r="W8" i="2"/>
  <c r="X8" i="2"/>
  <c r="AA8" i="2"/>
  <c r="AB8" i="2"/>
  <c r="AF8" i="2"/>
  <c r="AI8" i="2"/>
  <c r="AL8" i="2"/>
  <c r="AO8" i="2"/>
  <c r="AR8" i="2"/>
  <c r="AU8" i="2"/>
  <c r="AX8" i="2"/>
  <c r="BA8" i="2"/>
  <c r="BD8" i="2"/>
  <c r="W9" i="2"/>
  <c r="X9" i="2"/>
  <c r="Y9" i="2" s="1"/>
  <c r="AA9" i="2"/>
  <c r="AB9" i="2"/>
  <c r="AF9" i="2"/>
  <c r="AI9" i="2"/>
  <c r="AL9" i="2"/>
  <c r="AO9" i="2"/>
  <c r="AR9" i="2"/>
  <c r="AU9" i="2"/>
  <c r="AX9" i="2"/>
  <c r="BA9" i="2"/>
  <c r="BD9" i="2"/>
  <c r="W10" i="2"/>
  <c r="X10" i="2"/>
  <c r="Y10" i="2" s="1"/>
  <c r="AA10" i="2"/>
  <c r="AB10" i="2"/>
  <c r="AF10" i="2"/>
  <c r="AI10" i="2"/>
  <c r="AL10" i="2"/>
  <c r="AO10" i="2"/>
  <c r="AR10" i="2"/>
  <c r="AU10" i="2"/>
  <c r="AX10" i="2"/>
  <c r="BA10" i="2"/>
  <c r="BD10" i="2"/>
  <c r="W11" i="2"/>
  <c r="X11" i="2"/>
  <c r="AA11" i="2"/>
  <c r="AB11" i="2"/>
  <c r="AF11" i="2"/>
  <c r="AI11" i="2"/>
  <c r="AL11" i="2"/>
  <c r="AO11" i="2"/>
  <c r="AR11" i="2"/>
  <c r="AU11" i="2"/>
  <c r="AX11" i="2"/>
  <c r="BA11" i="2"/>
  <c r="BD11" i="2"/>
  <c r="W12" i="2"/>
  <c r="X12" i="2"/>
  <c r="Y12" i="2" s="1"/>
  <c r="AA12" i="2"/>
  <c r="AB12" i="2"/>
  <c r="AC12" i="2"/>
  <c r="AF12" i="2"/>
  <c r="AI12" i="2"/>
  <c r="AL12" i="2"/>
  <c r="AO12" i="2"/>
  <c r="AR12" i="2"/>
  <c r="AU12" i="2"/>
  <c r="AX12" i="2"/>
  <c r="BA12" i="2"/>
  <c r="BD12" i="2"/>
  <c r="W13" i="2"/>
  <c r="X13" i="2"/>
  <c r="AA13" i="2"/>
  <c r="AB13" i="2"/>
  <c r="AC13" i="2"/>
  <c r="AF13" i="2"/>
  <c r="AI13" i="2"/>
  <c r="AL13" i="2"/>
  <c r="AO13" i="2"/>
  <c r="AR13" i="2"/>
  <c r="AU13" i="2"/>
  <c r="AX13" i="2"/>
  <c r="BA13" i="2"/>
  <c r="BD13" i="2"/>
  <c r="W14" i="2"/>
  <c r="X14" i="2"/>
  <c r="AA14" i="2"/>
  <c r="AB14" i="2"/>
  <c r="AC14" i="2" s="1"/>
  <c r="AF14" i="2"/>
  <c r="AI14" i="2"/>
  <c r="AL14" i="2"/>
  <c r="AO14" i="2"/>
  <c r="AR14" i="2"/>
  <c r="BN14" i="2" s="1"/>
  <c r="AU14" i="2"/>
  <c r="AX14" i="2"/>
  <c r="BA14" i="2"/>
  <c r="BD14" i="2"/>
  <c r="W15" i="2"/>
  <c r="X15" i="2"/>
  <c r="Y15" i="2" s="1"/>
  <c r="AA15" i="2"/>
  <c r="AB15" i="2"/>
  <c r="AF15" i="2"/>
  <c r="AI15" i="2"/>
  <c r="AL15" i="2"/>
  <c r="AO15" i="2"/>
  <c r="AR15" i="2"/>
  <c r="AU15" i="2"/>
  <c r="AX15" i="2"/>
  <c r="BA15" i="2"/>
  <c r="BD15" i="2"/>
  <c r="W16" i="2"/>
  <c r="X16" i="2"/>
  <c r="AA16" i="2"/>
  <c r="AB16" i="2"/>
  <c r="AF16" i="2"/>
  <c r="AI16" i="2"/>
  <c r="AL16" i="2"/>
  <c r="AO16" i="2"/>
  <c r="AR16" i="2"/>
  <c r="AU16" i="2"/>
  <c r="AX16" i="2"/>
  <c r="BA16" i="2"/>
  <c r="BD16" i="2"/>
  <c r="W17" i="2"/>
  <c r="X17" i="2"/>
  <c r="Y17" i="2" s="1"/>
  <c r="AA17" i="2"/>
  <c r="AC17" i="2" s="1"/>
  <c r="AB17" i="2"/>
  <c r="AF17" i="2"/>
  <c r="AI17" i="2"/>
  <c r="AL17" i="2"/>
  <c r="AO17" i="2"/>
  <c r="AR17" i="2"/>
  <c r="BN17" i="2" s="1"/>
  <c r="AU17" i="2"/>
  <c r="AX17" i="2"/>
  <c r="BA17" i="2"/>
  <c r="BD17" i="2"/>
  <c r="W18" i="2"/>
  <c r="X18" i="2"/>
  <c r="Y18" i="2" s="1"/>
  <c r="AA18" i="2"/>
  <c r="AB18" i="2"/>
  <c r="AF18" i="2"/>
  <c r="AI18" i="2"/>
  <c r="AL18" i="2"/>
  <c r="AO18" i="2"/>
  <c r="AR18" i="2"/>
  <c r="BN18" i="2" s="1"/>
  <c r="AU18" i="2"/>
  <c r="AX18" i="2"/>
  <c r="BA18" i="2"/>
  <c r="BD18" i="2"/>
  <c r="BH9" i="2" l="1"/>
  <c r="BN4" i="2"/>
  <c r="BN7" i="2"/>
  <c r="AC11" i="2"/>
  <c r="AC18" i="2"/>
  <c r="AD10" i="2"/>
  <c r="BN16" i="2"/>
  <c r="BN10" i="2"/>
  <c r="BH8" i="2"/>
  <c r="BH11" i="2"/>
  <c r="BH18" i="2"/>
  <c r="BH15" i="2"/>
  <c r="BH12" i="2"/>
  <c r="BH7" i="2"/>
  <c r="AD18" i="2"/>
  <c r="AE18" i="2" s="1"/>
  <c r="BH17" i="2"/>
  <c r="AD15" i="2"/>
  <c r="BH13" i="2"/>
  <c r="BN11" i="2"/>
  <c r="AC9" i="2"/>
  <c r="BN8" i="2"/>
  <c r="AC6" i="2"/>
  <c r="AD8" i="2"/>
  <c r="BH4" i="2"/>
  <c r="BN15" i="2"/>
  <c r="BH14" i="2"/>
  <c r="AC10" i="2"/>
  <c r="BN6" i="2"/>
  <c r="AD5" i="2"/>
  <c r="AE5" i="2" s="1"/>
  <c r="BH16" i="2"/>
  <c r="BH10" i="2"/>
  <c r="AD16" i="2"/>
  <c r="AD13" i="2"/>
  <c r="AE13" i="2" s="1"/>
  <c r="BN9" i="2"/>
  <c r="AD7" i="2"/>
  <c r="BH6" i="2"/>
  <c r="BH5" i="2"/>
  <c r="Y4" i="2"/>
  <c r="AD11" i="2"/>
  <c r="AE11" i="2" s="1"/>
  <c r="AD12" i="2"/>
  <c r="AE12" i="2" s="1"/>
  <c r="Y11" i="2"/>
  <c r="AC15" i="2"/>
  <c r="AC7" i="2"/>
  <c r="BN12" i="2"/>
  <c r="AC16" i="2"/>
  <c r="AD14" i="2"/>
  <c r="AE14" i="2" s="1"/>
  <c r="BN13" i="2"/>
  <c r="Y13" i="2"/>
  <c r="AC8" i="2"/>
  <c r="AD6" i="2"/>
  <c r="BN5" i="2"/>
  <c r="Y5" i="2"/>
  <c r="Y14" i="2"/>
  <c r="Y6" i="2"/>
  <c r="AD17" i="2"/>
  <c r="AE17" i="2" s="1"/>
  <c r="Y16" i="2"/>
  <c r="AD9" i="2"/>
  <c r="Y8" i="2"/>
  <c r="BI18" i="2"/>
  <c r="BI17" i="2"/>
  <c r="BI16" i="2"/>
  <c r="BI15" i="2"/>
  <c r="BI14" i="2"/>
  <c r="BI13" i="2"/>
  <c r="BI12" i="2"/>
  <c r="BI11" i="2"/>
  <c r="BI10" i="2"/>
  <c r="BI9" i="2"/>
  <c r="BJ9" i="2" s="1"/>
  <c r="BI8" i="2"/>
  <c r="BI7" i="2"/>
  <c r="BK7" i="2" s="1"/>
  <c r="BI6" i="2"/>
  <c r="BI5" i="2"/>
  <c r="BK5" i="2" s="1"/>
  <c r="BI4" i="2"/>
  <c r="BJ12" i="2" l="1"/>
  <c r="BJ6" i="2"/>
  <c r="AE10" i="2"/>
  <c r="AE6" i="2"/>
  <c r="BJ13" i="2"/>
  <c r="BJ4" i="2"/>
  <c r="BJ8" i="2"/>
  <c r="BJ10" i="2"/>
  <c r="BK12" i="2"/>
  <c r="BJ18" i="2"/>
  <c r="BK15" i="2"/>
  <c r="AE9" i="2"/>
  <c r="AE8" i="2"/>
  <c r="AE15" i="2"/>
  <c r="BK11" i="2"/>
  <c r="AE16" i="2"/>
  <c r="BJ14" i="2"/>
  <c r="AE7" i="2"/>
  <c r="BJ11" i="2"/>
  <c r="BK4" i="2"/>
  <c r="BK13" i="2"/>
  <c r="BL13" i="2" s="1"/>
  <c r="BM13" i="2" s="1"/>
  <c r="BJ16" i="2"/>
  <c r="BJ17" i="2"/>
  <c r="BK8" i="2"/>
  <c r="BL8" i="2" s="1"/>
  <c r="BM8" i="2" s="1"/>
  <c r="BL12" i="2"/>
  <c r="BM12" i="2" s="1"/>
  <c r="BK16" i="2"/>
  <c r="BJ5" i="2"/>
  <c r="BL5" i="2" s="1"/>
  <c r="BM5" i="2" s="1"/>
  <c r="BK9" i="2"/>
  <c r="BL9" i="2" s="1"/>
  <c r="BM9" i="2" s="1"/>
  <c r="BK17" i="2"/>
  <c r="BK10" i="2"/>
  <c r="BK18" i="2"/>
  <c r="BJ15" i="2"/>
  <c r="BK6" i="2"/>
  <c r="BL6" i="2" s="1"/>
  <c r="BM6" i="2" s="1"/>
  <c r="BK14" i="2"/>
  <c r="BJ7" i="2"/>
  <c r="BL7" i="2" s="1"/>
  <c r="BM7" i="2" s="1"/>
  <c r="BL16" i="2" l="1"/>
  <c r="BM16" i="2" s="1"/>
  <c r="BL4" i="2"/>
  <c r="BM4" i="2" s="1"/>
  <c r="BL15" i="2"/>
  <c r="BM15" i="2" s="1"/>
  <c r="BL18" i="2"/>
  <c r="BM18" i="2" s="1"/>
  <c r="BL10" i="2"/>
  <c r="BM10" i="2" s="1"/>
  <c r="BL11" i="2"/>
  <c r="BM11" i="2" s="1"/>
  <c r="BL14" i="2"/>
  <c r="BM14" i="2" s="1"/>
  <c r="BL17" i="2"/>
  <c r="BM17" i="2" s="1"/>
</calcChain>
</file>

<file path=xl/sharedStrings.xml><?xml version="1.0" encoding="utf-8"?>
<sst xmlns="http://schemas.openxmlformats.org/spreadsheetml/2006/main" count="322" uniqueCount="74">
  <si>
    <t>Total Anaions in milli eq</t>
  </si>
  <si>
    <t>TCA</t>
  </si>
  <si>
    <t>Total Cataions</t>
  </si>
  <si>
    <t>TCC</t>
  </si>
  <si>
    <t>DY-5</t>
  </si>
  <si>
    <t>Daruthenga</t>
  </si>
  <si>
    <t>DY-4</t>
  </si>
  <si>
    <t>Gadakan Road</t>
  </si>
  <si>
    <t>DY-3</t>
  </si>
  <si>
    <t>BMC Micro 
Composting</t>
  </si>
  <si>
    <t>DY-2</t>
  </si>
  <si>
    <t>Lingaraj Railway Station</t>
  </si>
  <si>
    <t>DY-1</t>
  </si>
  <si>
    <t>Bhuasuni Temple Area</t>
  </si>
  <si>
    <t>Dumping 
Yard</t>
  </si>
  <si>
    <t>IA-5</t>
  </si>
  <si>
    <t>Anmol Industries Dabua</t>
  </si>
  <si>
    <t>IA-4</t>
  </si>
  <si>
    <t>Rasulgarh</t>
  </si>
  <si>
    <t>IA-3</t>
  </si>
  <si>
    <t>OMFED Industries</t>
  </si>
  <si>
    <t>IA-2</t>
  </si>
  <si>
    <t>Chandaka Industrial Estate</t>
  </si>
  <si>
    <t>IA-1</t>
  </si>
  <si>
    <t>Mancheswar Industrial Estate</t>
  </si>
  <si>
    <t>Industrial areas</t>
  </si>
  <si>
    <t>PD-5</t>
  </si>
  <si>
    <t>Old Town Bhubaneswar</t>
  </si>
  <si>
    <t>PD-4</t>
  </si>
  <si>
    <t>OMFED Square</t>
  </si>
  <si>
    <t>PD-3</t>
  </si>
  <si>
    <t>Sailashree Vihar</t>
  </si>
  <si>
    <t>PD-2</t>
  </si>
  <si>
    <t>Ram Mandir</t>
  </si>
  <si>
    <t>PD-1</t>
  </si>
  <si>
    <t>Acharya Vihar</t>
  </si>
  <si>
    <t>Population Density</t>
  </si>
  <si>
    <t>Moleular weitght</t>
  </si>
  <si>
    <t>Valence</t>
  </si>
  <si>
    <t>Difference</t>
  </si>
  <si>
    <t>Total TDS</t>
  </si>
  <si>
    <t>(mg/L)</t>
  </si>
  <si>
    <t xml:space="preserve"> (mg/L)</t>
  </si>
  <si>
    <t>(μS/cm)</t>
  </si>
  <si>
    <t>NA/Cl</t>
  </si>
  <si>
    <t>C*100</t>
  </si>
  <si>
    <t>A/B</t>
  </si>
  <si>
    <t>TCC+TCA</t>
  </si>
  <si>
    <t>TCC-TCA</t>
  </si>
  <si>
    <t>HCO₃⁻</t>
  </si>
  <si>
    <t>Sulphate</t>
  </si>
  <si>
    <t>Nitrate</t>
  </si>
  <si>
    <t>Fluoride</t>
  </si>
  <si>
    <t xml:space="preserve">Chloride </t>
  </si>
  <si>
    <t>K⁺</t>
  </si>
  <si>
    <t>Na⁺</t>
  </si>
  <si>
    <t>Mg²⁺</t>
  </si>
  <si>
    <t>Ca²⁺</t>
  </si>
  <si>
    <t>Iron</t>
  </si>
  <si>
    <t xml:space="preserve">TDS  </t>
  </si>
  <si>
    <t xml:space="preserve">Alkalinity  </t>
  </si>
  <si>
    <t xml:space="preserve">Hardness </t>
  </si>
  <si>
    <t xml:space="preserve">DO  </t>
  </si>
  <si>
    <t>Conductivity</t>
  </si>
  <si>
    <t>pH</t>
  </si>
  <si>
    <t>Long</t>
  </si>
  <si>
    <t>Lat</t>
  </si>
  <si>
    <t>Loction ID</t>
  </si>
  <si>
    <t>Areas</t>
  </si>
  <si>
    <t>Sites</t>
  </si>
  <si>
    <t>Sl No</t>
  </si>
  <si>
    <t>TDS</t>
  </si>
  <si>
    <t xml:space="preserve">TA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</si>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</sst>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11"/>
      <color rgb="FF00B0F0"/>
      <name val="Calibri"/>
      <family val="2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7"/>
      <name val="Calibri"/>
      <family val="2"/>
      <scheme val="minor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2" fontId="3" fillId="0" borderId="0" xfId="0" applyNumberFormat="1" applyFont="1"/>
    <xf numFmtId="0" fontId="3" fillId="2" borderId="0" xfId="0" applyFont="1" applyFill="1"/>
    <xf numFmtId="2" fontId="3" fillId="2" borderId="0" xfId="0" applyNumberFormat="1" applyFont="1" applyFill="1"/>
    <xf numFmtId="0" fontId="3" fillId="0" borderId="1" xfId="0" applyFont="1" applyBorder="1"/>
    <xf numFmtId="2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4" fillId="0" borderId="2" xfId="0" applyFont="1" applyBorder="1" applyAlignment="1">
      <alignment horizontal="center" vertical="center" wrapText="1"/>
    </xf>
    <xf numFmtId="0" fontId="1" fillId="0" borderId="0" xfId="0" applyFont="1"/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quotePrefix="1" applyFont="1"/>
    <xf numFmtId="0" fontId="7" fillId="0" borderId="4" xfId="0" quotePrefix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quotePrefix="1" applyFont="1"/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quotePrefix="1"/>
    <xf numFmtId="0" fontId="10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  <xf numFmtId="2" fontId="0" fillId="2" borderId="0" xfId="0" applyNumberFormat="1" applyFill="1"/>
    <xf numFmtId="0" fontId="0" fillId="2" borderId="0" xfId="0" applyFill="1"/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13" fillId="0" borderId="0" xfId="0" applyFont="1"/>
    <xf numFmtId="2" fontId="11" fillId="0" borderId="1" xfId="0" applyNumberFormat="1" applyFont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80F1-B4FC-4E0B-8DA3-2CB746B11148}">
  <dimension ref="B1:BN23"/>
  <sheetViews>
    <sheetView topLeftCell="C1" zoomScaleNormal="100" workbookViewId="0">
      <selection activeCell="M4" sqref="M4"/>
    </sheetView>
  </sheetViews>
  <sheetFormatPr defaultRowHeight="14.4" x14ac:dyDescent="0.3"/>
  <cols>
    <col min="3" max="3" width="16.33203125" bestFit="1" customWidth="1"/>
    <col min="4" max="4" width="21" bestFit="1" customWidth="1"/>
    <col min="5" max="5" width="11" bestFit="1" customWidth="1"/>
    <col min="6" max="6" width="14.88671875" customWidth="1"/>
    <col min="7" max="7" width="14.44140625" customWidth="1"/>
    <col min="8" max="8" width="5" bestFit="1" customWidth="1"/>
    <col min="9" max="9" width="12.21875" bestFit="1" customWidth="1"/>
    <col min="10" max="10" width="12.21875" customWidth="1"/>
    <col min="11" max="11" width="14.88671875" bestFit="1" customWidth="1"/>
    <col min="12" max="12" width="9.5546875" bestFit="1" customWidth="1"/>
    <col min="13" max="18" width="6.88671875" bestFit="1" customWidth="1"/>
    <col min="19" max="19" width="9.109375" bestFit="1" customWidth="1"/>
    <col min="20" max="20" width="8.5546875" bestFit="1" customWidth="1"/>
    <col min="21" max="21" width="7" bestFit="1" customWidth="1"/>
    <col min="22" max="22" width="8.21875" bestFit="1" customWidth="1"/>
    <col min="23" max="23" width="11" hidden="1" customWidth="1"/>
    <col min="24" max="24" width="11.77734375" hidden="1" customWidth="1"/>
    <col min="25" max="25" width="0" hidden="1" customWidth="1"/>
    <col min="26" max="26" width="11.44140625" hidden="1" customWidth="1"/>
    <col min="27" max="30" width="0" hidden="1" customWidth="1"/>
    <col min="31" max="31" width="10.6640625" hidden="1" customWidth="1"/>
    <col min="32" max="32" width="21.77734375" hidden="1" customWidth="1"/>
    <col min="33" max="66" width="0" hidden="1" customWidth="1"/>
  </cols>
  <sheetData>
    <row r="1" spans="2:66" x14ac:dyDescent="0.3"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3</v>
      </c>
      <c r="X1">
        <v>7</v>
      </c>
    </row>
    <row r="2" spans="2:66" ht="15.6" x14ac:dyDescent="0.3">
      <c r="B2" s="30" t="s">
        <v>70</v>
      </c>
      <c r="C2" s="30" t="s">
        <v>69</v>
      </c>
      <c r="D2" s="27" t="s">
        <v>68</v>
      </c>
      <c r="E2" s="29" t="s">
        <v>67</v>
      </c>
      <c r="F2" s="27" t="s">
        <v>66</v>
      </c>
      <c r="G2" s="27" t="s">
        <v>65</v>
      </c>
      <c r="H2" s="27" t="s">
        <v>64</v>
      </c>
      <c r="I2" s="27" t="s">
        <v>63</v>
      </c>
      <c r="J2" s="27" t="s">
        <v>71</v>
      </c>
      <c r="K2" s="27" t="s">
        <v>73</v>
      </c>
      <c r="L2" s="27" t="s">
        <v>72</v>
      </c>
      <c r="M2" s="27" t="s">
        <v>57</v>
      </c>
      <c r="N2" s="27" t="s">
        <v>56</v>
      </c>
      <c r="O2" s="27" t="s">
        <v>55</v>
      </c>
      <c r="P2" s="27" t="s">
        <v>54</v>
      </c>
      <c r="Q2" s="27" t="s">
        <v>58</v>
      </c>
      <c r="R2" s="27" t="s">
        <v>49</v>
      </c>
      <c r="S2" s="27" t="s">
        <v>53</v>
      </c>
      <c r="T2" s="27" t="s">
        <v>50</v>
      </c>
      <c r="U2" s="27" t="s">
        <v>51</v>
      </c>
      <c r="V2" s="27" t="s">
        <v>52</v>
      </c>
      <c r="W2" s="27" t="s">
        <v>62</v>
      </c>
      <c r="X2" s="27" t="s">
        <v>59</v>
      </c>
      <c r="AA2" s="28"/>
      <c r="AG2" s="27" t="s">
        <v>57</v>
      </c>
      <c r="AH2" s="27"/>
      <c r="AI2" s="27"/>
      <c r="AJ2" s="27" t="s">
        <v>56</v>
      </c>
      <c r="AK2" s="27"/>
      <c r="AL2" s="27"/>
      <c r="AM2" s="27" t="s">
        <v>55</v>
      </c>
      <c r="AN2" s="27"/>
      <c r="AO2" s="27"/>
      <c r="AP2" s="27" t="s">
        <v>54</v>
      </c>
      <c r="AS2" s="27" t="s">
        <v>53</v>
      </c>
      <c r="AT2" s="27"/>
      <c r="AU2" s="27"/>
      <c r="AV2" s="27" t="s">
        <v>52</v>
      </c>
      <c r="AW2" s="27"/>
      <c r="AX2" s="27"/>
      <c r="AY2" s="27" t="s">
        <v>51</v>
      </c>
      <c r="AZ2" s="27"/>
      <c r="BA2" s="27"/>
      <c r="BB2" s="27" t="s">
        <v>50</v>
      </c>
      <c r="BC2" s="27"/>
      <c r="BD2" s="27"/>
      <c r="BE2" s="27" t="s">
        <v>49</v>
      </c>
      <c r="BI2" s="25" t="s">
        <v>3</v>
      </c>
      <c r="BJ2" s="25" t="s">
        <v>1</v>
      </c>
      <c r="BK2" s="26" t="s">
        <v>48</v>
      </c>
      <c r="BL2" s="26" t="s">
        <v>47</v>
      </c>
      <c r="BM2" s="26" t="s">
        <v>46</v>
      </c>
      <c r="BN2" s="26" t="s">
        <v>45</v>
      </c>
    </row>
    <row r="3" spans="2:66" ht="28.8" x14ac:dyDescent="0.3">
      <c r="B3" s="30"/>
      <c r="C3" s="30"/>
      <c r="D3" s="27"/>
      <c r="E3" s="32"/>
      <c r="F3" s="27"/>
      <c r="G3" s="27"/>
      <c r="H3" s="27"/>
      <c r="I3" s="33" t="s">
        <v>43</v>
      </c>
      <c r="J3" s="33" t="s">
        <v>42</v>
      </c>
      <c r="K3" s="33" t="s">
        <v>42</v>
      </c>
      <c r="L3" s="33" t="s">
        <v>42</v>
      </c>
      <c r="M3" s="34" t="s">
        <v>41</v>
      </c>
      <c r="N3" s="34" t="s">
        <v>41</v>
      </c>
      <c r="O3" s="34" t="s">
        <v>41</v>
      </c>
      <c r="P3" s="34" t="s">
        <v>41</v>
      </c>
      <c r="Q3" s="34" t="s">
        <v>41</v>
      </c>
      <c r="R3" s="34" t="s">
        <v>41</v>
      </c>
      <c r="S3" s="33" t="s">
        <v>41</v>
      </c>
      <c r="T3" s="34" t="s">
        <v>41</v>
      </c>
      <c r="U3" s="33" t="s">
        <v>41</v>
      </c>
      <c r="V3" s="33" t="s">
        <v>41</v>
      </c>
      <c r="W3" s="33" t="s">
        <v>42</v>
      </c>
      <c r="X3" s="33" t="s">
        <v>42</v>
      </c>
      <c r="Y3" s="35" t="s">
        <v>40</v>
      </c>
      <c r="Z3" s="35" t="s">
        <v>39</v>
      </c>
      <c r="AA3" s="35"/>
      <c r="AB3" s="36"/>
      <c r="AC3" s="36"/>
      <c r="AD3" s="37"/>
      <c r="AE3" s="37"/>
      <c r="AF3" s="31"/>
      <c r="AH3" t="s">
        <v>38</v>
      </c>
      <c r="AI3" s="38" t="s">
        <v>37</v>
      </c>
      <c r="AK3" t="s">
        <v>38</v>
      </c>
      <c r="AL3" s="38" t="s">
        <v>37</v>
      </c>
      <c r="AN3" t="s">
        <v>38</v>
      </c>
      <c r="AO3" s="38" t="s">
        <v>37</v>
      </c>
      <c r="AQ3" t="s">
        <v>38</v>
      </c>
      <c r="AR3" s="38" t="s">
        <v>37</v>
      </c>
      <c r="AT3" t="s">
        <v>38</v>
      </c>
      <c r="AU3" s="38" t="s">
        <v>37</v>
      </c>
      <c r="AW3" t="s">
        <v>38</v>
      </c>
      <c r="AX3" s="38" t="s">
        <v>37</v>
      </c>
      <c r="AZ3" t="s">
        <v>38</v>
      </c>
      <c r="BA3" s="38" t="s">
        <v>37</v>
      </c>
      <c r="BC3" t="s">
        <v>38</v>
      </c>
      <c r="BD3" s="38" t="s">
        <v>37</v>
      </c>
      <c r="BF3" t="s">
        <v>38</v>
      </c>
      <c r="BG3" s="38" t="s">
        <v>37</v>
      </c>
    </row>
    <row r="4" spans="2:66" x14ac:dyDescent="0.3">
      <c r="B4" s="39">
        <v>1</v>
      </c>
      <c r="C4" s="55" t="s">
        <v>36</v>
      </c>
      <c r="D4" s="40" t="s">
        <v>35</v>
      </c>
      <c r="E4" s="41" t="s">
        <v>34</v>
      </c>
      <c r="F4" s="39">
        <v>20.303531</v>
      </c>
      <c r="G4" s="39">
        <v>85.826217</v>
      </c>
      <c r="H4" s="39">
        <v>4.8899999999999997</v>
      </c>
      <c r="I4" s="39">
        <v>300</v>
      </c>
      <c r="J4" s="39">
        <v>192</v>
      </c>
      <c r="K4" s="39">
        <v>7</v>
      </c>
      <c r="L4" s="39">
        <v>102</v>
      </c>
      <c r="M4" s="43">
        <v>32.549999999999997</v>
      </c>
      <c r="N4" s="43">
        <v>5.04</v>
      </c>
      <c r="O4" s="43">
        <v>16.48</v>
      </c>
      <c r="P4" s="43">
        <v>4.2699999999999996</v>
      </c>
      <c r="Q4" s="42">
        <v>0.12</v>
      </c>
      <c r="R4" s="43">
        <v>63.12</v>
      </c>
      <c r="S4" s="39">
        <v>31.03</v>
      </c>
      <c r="T4" s="39">
        <v>6.7</v>
      </c>
      <c r="U4" s="39">
        <v>24.02</v>
      </c>
      <c r="V4" s="39">
        <v>0.05</v>
      </c>
      <c r="W4" s="39">
        <v>5.18</v>
      </c>
      <c r="X4" s="39">
        <f>I4*0.64</f>
        <v>192</v>
      </c>
      <c r="Y4">
        <f t="shared" ref="Y4:Y18" si="0">SUM(V4:V4)+S4</f>
        <v>31.080000000000002</v>
      </c>
      <c r="Z4" s="44">
        <f t="shared" ref="Z4:Z18" si="1">X4-Y4</f>
        <v>160.91999999999999</v>
      </c>
      <c r="AA4" s="44"/>
      <c r="AB4" s="44"/>
      <c r="AC4" s="44"/>
      <c r="AD4" s="44"/>
      <c r="AE4" s="44"/>
      <c r="AF4" s="44"/>
      <c r="AG4" s="45">
        <f t="shared" ref="AG4:AG18" si="2">(M4*AH4)/AI4</f>
        <v>1.6274999999999999</v>
      </c>
      <c r="AH4" s="44">
        <v>2</v>
      </c>
      <c r="AI4" s="44">
        <v>40</v>
      </c>
      <c r="AJ4" s="46">
        <f t="shared" ref="AJ4:AJ18" si="3">(N4*AK4)/AL4</f>
        <v>0.4148148148148148</v>
      </c>
      <c r="AK4">
        <v>2</v>
      </c>
      <c r="AL4">
        <v>24.3</v>
      </c>
      <c r="AM4" s="46">
        <f t="shared" ref="AM4:AM18" si="4">O4*AN4/AO4</f>
        <v>0.71652173913043482</v>
      </c>
      <c r="AN4">
        <v>1</v>
      </c>
      <c r="AO4">
        <v>23</v>
      </c>
      <c r="AP4" s="46">
        <f t="shared" ref="AP4:AP18" si="5">P4*AQ4/AR4</f>
        <v>0.10948717948717948</v>
      </c>
      <c r="AQ4">
        <v>1</v>
      </c>
      <c r="AR4">
        <v>39</v>
      </c>
      <c r="AS4" s="46">
        <f t="shared" ref="AS4:AS18" si="6">S4*AT4/AU4</f>
        <v>0.8740845070422536</v>
      </c>
      <c r="AT4">
        <v>1</v>
      </c>
      <c r="AU4">
        <v>35.5</v>
      </c>
      <c r="AV4" s="46">
        <f t="shared" ref="AV4:AV18" si="7">V4*AW4/AX4</f>
        <v>2.6329647182727757E-3</v>
      </c>
      <c r="AW4">
        <v>1</v>
      </c>
      <c r="AX4">
        <v>18.989999999999998</v>
      </c>
      <c r="AY4" s="46">
        <f t="shared" ref="AY4:AY18" si="8">U4*AZ4/BA4</f>
        <v>0.38735687792291568</v>
      </c>
      <c r="AZ4">
        <v>1</v>
      </c>
      <c r="BA4">
        <v>62.01</v>
      </c>
      <c r="BB4" s="46">
        <f t="shared" ref="BB4:BB18" si="9">T4*BC4/BD4</f>
        <v>0.13958333333333334</v>
      </c>
      <c r="BC4">
        <v>2</v>
      </c>
      <c r="BD4">
        <v>96</v>
      </c>
      <c r="BE4" s="46">
        <f t="shared" ref="BE4:BE18" si="10">R4*BF4/BG4</f>
        <v>1.0347540983606558</v>
      </c>
      <c r="BF4">
        <v>1</v>
      </c>
      <c r="BG4">
        <v>61</v>
      </c>
      <c r="BI4" s="44">
        <f>AG4+AJ4+AM4+AP4</f>
        <v>2.8683237334324292</v>
      </c>
      <c r="BJ4">
        <f>AS4+AV4+AY4+BB4+BE4</f>
        <v>2.4384117813774315</v>
      </c>
      <c r="BK4" s="44">
        <f>BI4-BJ4</f>
        <v>0.42991195205499766</v>
      </c>
      <c r="BL4" s="44">
        <f>BI4+BJ4</f>
        <v>5.3067355148098603</v>
      </c>
      <c r="BM4">
        <f>BK4/BL4</f>
        <v>8.1012507756456631E-2</v>
      </c>
      <c r="BN4">
        <f>BM4*100</f>
        <v>8.1012507756456635</v>
      </c>
    </row>
    <row r="5" spans="2:66" x14ac:dyDescent="0.3">
      <c r="B5" s="39">
        <v>2</v>
      </c>
      <c r="C5" s="55"/>
      <c r="D5" s="40" t="s">
        <v>33</v>
      </c>
      <c r="E5" s="47" t="s">
        <v>32</v>
      </c>
      <c r="F5" s="39">
        <v>20.278196999999999</v>
      </c>
      <c r="G5" s="39">
        <v>85.840283999999997</v>
      </c>
      <c r="H5" s="39">
        <v>5.58</v>
      </c>
      <c r="I5" s="39">
        <v>403</v>
      </c>
      <c r="J5" s="39">
        <v>258</v>
      </c>
      <c r="K5" s="39">
        <v>22</v>
      </c>
      <c r="L5" s="39">
        <v>113</v>
      </c>
      <c r="M5" s="43">
        <v>34.729999999999997</v>
      </c>
      <c r="N5" s="43">
        <v>6.46</v>
      </c>
      <c r="O5" s="43">
        <v>28.92</v>
      </c>
      <c r="P5" s="43">
        <v>6.31</v>
      </c>
      <c r="Q5" s="42">
        <v>0.39</v>
      </c>
      <c r="R5" s="43">
        <v>65.34</v>
      </c>
      <c r="S5" s="39">
        <v>54.56</v>
      </c>
      <c r="T5" s="39">
        <v>22.8</v>
      </c>
      <c r="U5" s="39">
        <v>28.82</v>
      </c>
      <c r="V5" s="39">
        <v>0.05</v>
      </c>
      <c r="W5" s="48">
        <v>6.11</v>
      </c>
      <c r="X5" s="39">
        <f t="shared" ref="X5:X18" si="11">I5*0.65</f>
        <v>261.95</v>
      </c>
      <c r="Y5">
        <f t="shared" si="0"/>
        <v>54.61</v>
      </c>
      <c r="Z5" s="44">
        <f t="shared" si="1"/>
        <v>207.33999999999997</v>
      </c>
      <c r="AA5" s="44"/>
      <c r="AB5" s="44">
        <f t="shared" ref="AB5:AB18" si="12">P5+O5+N5+M5+Q5</f>
        <v>76.81</v>
      </c>
      <c r="AC5" s="44">
        <f t="shared" ref="AC5:AC18" si="13">R5+T5+U5+V5+S5</f>
        <v>171.57</v>
      </c>
      <c r="AD5" s="44">
        <f t="shared" ref="AD5:AD18" si="14">AB5-AC5</f>
        <v>-94.759999999999991</v>
      </c>
      <c r="AE5" s="44">
        <f t="shared" ref="AE5:AE18" si="15">AB5+AC5</f>
        <v>248.38</v>
      </c>
      <c r="AF5" s="44">
        <f t="shared" ref="AF5:AF18" si="16">(AD5/AE5)*100</f>
        <v>-38.151219904984295</v>
      </c>
      <c r="AG5" s="45">
        <f t="shared" si="2"/>
        <v>1.7364999999999999</v>
      </c>
      <c r="AH5" s="44">
        <v>2</v>
      </c>
      <c r="AI5" s="44">
        <v>40</v>
      </c>
      <c r="AJ5" s="46">
        <f t="shared" si="3"/>
        <v>0.53168724279835389</v>
      </c>
      <c r="AK5">
        <v>2</v>
      </c>
      <c r="AL5">
        <v>24.3</v>
      </c>
      <c r="AM5" s="46">
        <f t="shared" si="4"/>
        <v>1.2573913043478262</v>
      </c>
      <c r="AN5">
        <v>1</v>
      </c>
      <c r="AO5">
        <v>23</v>
      </c>
      <c r="AP5" s="46">
        <f t="shared" si="5"/>
        <v>0.16179487179487179</v>
      </c>
      <c r="AQ5">
        <v>1</v>
      </c>
      <c r="AR5">
        <v>39</v>
      </c>
      <c r="AS5" s="46">
        <f t="shared" si="6"/>
        <v>1.5369014084507042</v>
      </c>
      <c r="AT5">
        <v>1</v>
      </c>
      <c r="AU5">
        <v>35.5</v>
      </c>
      <c r="AV5" s="46">
        <f t="shared" si="7"/>
        <v>2.6329647182727757E-3</v>
      </c>
      <c r="AW5">
        <v>1</v>
      </c>
      <c r="AX5">
        <v>18.989999999999998</v>
      </c>
      <c r="AY5" s="46">
        <f t="shared" si="8"/>
        <v>0.4647637477826157</v>
      </c>
      <c r="AZ5">
        <v>1</v>
      </c>
      <c r="BA5">
        <v>62.01</v>
      </c>
      <c r="BB5" s="46">
        <f t="shared" si="9"/>
        <v>0.47500000000000003</v>
      </c>
      <c r="BC5">
        <v>2</v>
      </c>
      <c r="BD5">
        <v>96</v>
      </c>
      <c r="BE5" s="46">
        <f t="shared" si="10"/>
        <v>1.0711475409836066</v>
      </c>
      <c r="BF5">
        <v>1</v>
      </c>
      <c r="BG5">
        <v>61</v>
      </c>
      <c r="BI5" s="44">
        <f t="shared" ref="BI5:BI18" si="17">AG5+AJ5+AM5+AP5</f>
        <v>3.6873734189410521</v>
      </c>
      <c r="BJ5">
        <f t="shared" ref="BJ5:BJ18" si="18">AS5+AV5+AY5+BB5+BE5</f>
        <v>3.5504456619351994</v>
      </c>
      <c r="BK5" s="44">
        <f t="shared" ref="BK5:BK18" si="19">BI5-BJ5</f>
        <v>0.13692775700585269</v>
      </c>
      <c r="BL5" s="44">
        <f t="shared" ref="BL5:BL18" si="20">BI5+BJ5</f>
        <v>7.2378190808762515</v>
      </c>
      <c r="BM5">
        <f t="shared" ref="BM5:BM18" si="21">BK5/BL5</f>
        <v>1.8918372437305445E-2</v>
      </c>
      <c r="BN5">
        <f t="shared" ref="BN5:BN18" si="22">BM5*100</f>
        <v>1.8918372437305444</v>
      </c>
    </row>
    <row r="6" spans="2:66" x14ac:dyDescent="0.3">
      <c r="B6" s="39">
        <v>3</v>
      </c>
      <c r="C6" s="55"/>
      <c r="D6" s="40" t="s">
        <v>31</v>
      </c>
      <c r="E6" s="47" t="s">
        <v>30</v>
      </c>
      <c r="F6" s="39">
        <v>20.337294</v>
      </c>
      <c r="G6" s="39">
        <v>85.810480999999996</v>
      </c>
      <c r="H6" s="39">
        <v>5.13</v>
      </c>
      <c r="I6" s="39">
        <v>331</v>
      </c>
      <c r="J6" s="39">
        <v>212</v>
      </c>
      <c r="K6" s="39">
        <v>6</v>
      </c>
      <c r="L6" s="39">
        <v>107</v>
      </c>
      <c r="M6" s="43">
        <v>32.64</v>
      </c>
      <c r="N6" s="43">
        <v>6.19</v>
      </c>
      <c r="O6" s="43">
        <v>15.88</v>
      </c>
      <c r="P6" s="43">
        <v>6.5</v>
      </c>
      <c r="Q6" s="42">
        <v>0.28000000000000003</v>
      </c>
      <c r="R6" s="43">
        <v>89</v>
      </c>
      <c r="S6" s="39">
        <v>27.01</v>
      </c>
      <c r="T6" s="39">
        <v>14.4</v>
      </c>
      <c r="U6" s="39">
        <v>12.35</v>
      </c>
      <c r="V6" s="39">
        <v>0.03</v>
      </c>
      <c r="W6" s="39">
        <v>6.51</v>
      </c>
      <c r="X6" s="39">
        <f t="shared" si="11"/>
        <v>215.15</v>
      </c>
      <c r="Y6">
        <f t="shared" si="0"/>
        <v>27.040000000000003</v>
      </c>
      <c r="Z6" s="44">
        <f t="shared" si="1"/>
        <v>188.11</v>
      </c>
      <c r="AA6" s="44"/>
      <c r="AB6" s="44">
        <f t="shared" si="12"/>
        <v>61.490000000000009</v>
      </c>
      <c r="AC6" s="44">
        <f t="shared" si="13"/>
        <v>142.79</v>
      </c>
      <c r="AD6" s="44">
        <f t="shared" si="14"/>
        <v>-81.299999999999983</v>
      </c>
      <c r="AE6" s="44">
        <f t="shared" si="15"/>
        <v>204.28</v>
      </c>
      <c r="AF6" s="44">
        <f t="shared" si="16"/>
        <v>-39.79831603681221</v>
      </c>
      <c r="AG6" s="45">
        <f t="shared" si="2"/>
        <v>1.6320000000000001</v>
      </c>
      <c r="AH6" s="44">
        <v>2</v>
      </c>
      <c r="AI6" s="44">
        <v>40</v>
      </c>
      <c r="AJ6" s="46">
        <f t="shared" si="3"/>
        <v>0.50946502057613174</v>
      </c>
      <c r="AK6">
        <v>2</v>
      </c>
      <c r="AL6">
        <v>24.3</v>
      </c>
      <c r="AM6" s="46">
        <f t="shared" si="4"/>
        <v>0.69043478260869573</v>
      </c>
      <c r="AN6">
        <v>1</v>
      </c>
      <c r="AO6">
        <v>23</v>
      </c>
      <c r="AP6" s="46">
        <f t="shared" si="5"/>
        <v>0.16666666666666666</v>
      </c>
      <c r="AQ6">
        <v>1</v>
      </c>
      <c r="AR6">
        <v>39</v>
      </c>
      <c r="AS6" s="46">
        <f t="shared" si="6"/>
        <v>0.76084507042253524</v>
      </c>
      <c r="AT6">
        <v>1</v>
      </c>
      <c r="AU6">
        <v>35.5</v>
      </c>
      <c r="AV6" s="46">
        <f t="shared" si="7"/>
        <v>1.5797788309636651E-3</v>
      </c>
      <c r="AW6">
        <v>1</v>
      </c>
      <c r="AX6">
        <v>18.989999999999998</v>
      </c>
      <c r="AY6" s="46">
        <f t="shared" si="8"/>
        <v>0.19916142557651992</v>
      </c>
      <c r="AZ6">
        <v>1</v>
      </c>
      <c r="BA6">
        <v>62.01</v>
      </c>
      <c r="BB6" s="46">
        <f t="shared" si="9"/>
        <v>0.3</v>
      </c>
      <c r="BC6">
        <v>2</v>
      </c>
      <c r="BD6">
        <v>96</v>
      </c>
      <c r="BE6" s="46">
        <f t="shared" si="10"/>
        <v>1.459016393442623</v>
      </c>
      <c r="BF6">
        <v>1</v>
      </c>
      <c r="BG6">
        <v>61</v>
      </c>
      <c r="BI6" s="44">
        <f t="shared" si="17"/>
        <v>2.9985664698514944</v>
      </c>
      <c r="BJ6">
        <f t="shared" si="18"/>
        <v>2.7206026682726421</v>
      </c>
      <c r="BK6" s="44">
        <f t="shared" si="19"/>
        <v>0.27796380157885237</v>
      </c>
      <c r="BL6" s="44">
        <f t="shared" si="20"/>
        <v>5.719169138124137</v>
      </c>
      <c r="BM6">
        <f t="shared" si="21"/>
        <v>4.8602129936311571E-2</v>
      </c>
      <c r="BN6">
        <f t="shared" si="22"/>
        <v>4.8602129936311567</v>
      </c>
    </row>
    <row r="7" spans="2:66" x14ac:dyDescent="0.3">
      <c r="B7" s="39">
        <v>4</v>
      </c>
      <c r="C7" s="55"/>
      <c r="D7" s="40" t="s">
        <v>29</v>
      </c>
      <c r="E7" s="41" t="s">
        <v>28</v>
      </c>
      <c r="F7" s="39">
        <v>20.323146999999999</v>
      </c>
      <c r="G7" s="39">
        <v>85.823089999999993</v>
      </c>
      <c r="H7" s="39">
        <v>5.81</v>
      </c>
      <c r="I7" s="39">
        <v>366</v>
      </c>
      <c r="J7" s="48">
        <v>234</v>
      </c>
      <c r="K7" s="48">
        <v>16</v>
      </c>
      <c r="L7" s="39">
        <v>107</v>
      </c>
      <c r="M7" s="43">
        <v>32.75</v>
      </c>
      <c r="N7" s="43">
        <v>6.05</v>
      </c>
      <c r="O7" s="43">
        <v>27.83</v>
      </c>
      <c r="P7" s="43">
        <v>4.18</v>
      </c>
      <c r="Q7" s="42">
        <v>0.27</v>
      </c>
      <c r="R7" s="43">
        <v>95.42</v>
      </c>
      <c r="S7" s="39">
        <v>38.54</v>
      </c>
      <c r="T7" s="39">
        <v>8.5</v>
      </c>
      <c r="U7" s="39">
        <v>17.84</v>
      </c>
      <c r="V7" s="39">
        <v>0.06</v>
      </c>
      <c r="W7" s="39">
        <v>6.3</v>
      </c>
      <c r="X7" s="39">
        <f t="shared" si="11"/>
        <v>237.9</v>
      </c>
      <c r="Y7">
        <f t="shared" si="0"/>
        <v>38.6</v>
      </c>
      <c r="Z7" s="44">
        <f t="shared" si="1"/>
        <v>199.3</v>
      </c>
      <c r="AA7" s="44"/>
      <c r="AB7" s="44">
        <f t="shared" si="12"/>
        <v>71.08</v>
      </c>
      <c r="AC7" s="44">
        <f t="shared" si="13"/>
        <v>160.36000000000001</v>
      </c>
      <c r="AD7" s="44">
        <f t="shared" si="14"/>
        <v>-89.280000000000015</v>
      </c>
      <c r="AE7" s="44">
        <f t="shared" si="15"/>
        <v>231.44</v>
      </c>
      <c r="AF7" s="44">
        <f t="shared" si="16"/>
        <v>-38.575872796405122</v>
      </c>
      <c r="AG7" s="45">
        <f t="shared" si="2"/>
        <v>1.6375</v>
      </c>
      <c r="AH7" s="44">
        <v>2</v>
      </c>
      <c r="AI7" s="44">
        <v>40</v>
      </c>
      <c r="AJ7" s="46">
        <f t="shared" si="3"/>
        <v>0.49794238683127567</v>
      </c>
      <c r="AK7">
        <v>2</v>
      </c>
      <c r="AL7">
        <v>24.3</v>
      </c>
      <c r="AM7" s="46">
        <f t="shared" si="4"/>
        <v>1.21</v>
      </c>
      <c r="AN7">
        <v>1</v>
      </c>
      <c r="AO7">
        <v>23</v>
      </c>
      <c r="AP7" s="46">
        <f t="shared" si="5"/>
        <v>0.10717948717948718</v>
      </c>
      <c r="AQ7">
        <v>1</v>
      </c>
      <c r="AR7">
        <v>39</v>
      </c>
      <c r="AS7" s="46">
        <f t="shared" si="6"/>
        <v>1.0856338028169015</v>
      </c>
      <c r="AT7">
        <v>1</v>
      </c>
      <c r="AU7">
        <v>35.5</v>
      </c>
      <c r="AV7" s="46">
        <f t="shared" si="7"/>
        <v>3.1595576619273301E-3</v>
      </c>
      <c r="AW7">
        <v>1</v>
      </c>
      <c r="AX7">
        <v>18.989999999999998</v>
      </c>
      <c r="AY7" s="46">
        <f t="shared" si="8"/>
        <v>0.28769553297855183</v>
      </c>
      <c r="AZ7">
        <v>1</v>
      </c>
      <c r="BA7">
        <v>62.01</v>
      </c>
      <c r="BB7" s="46">
        <f t="shared" si="9"/>
        <v>0.17708333333333334</v>
      </c>
      <c r="BC7">
        <v>2</v>
      </c>
      <c r="BD7">
        <v>96</v>
      </c>
      <c r="BE7" s="46">
        <f t="shared" si="10"/>
        <v>1.5642622950819673</v>
      </c>
      <c r="BF7">
        <v>1</v>
      </c>
      <c r="BG7">
        <v>61</v>
      </c>
      <c r="BI7" s="44">
        <f t="shared" si="17"/>
        <v>3.452621874010763</v>
      </c>
      <c r="BJ7">
        <f t="shared" si="18"/>
        <v>3.1178345218726813</v>
      </c>
      <c r="BK7" s="44">
        <f t="shared" si="19"/>
        <v>0.33478735213808175</v>
      </c>
      <c r="BL7" s="44">
        <f t="shared" si="20"/>
        <v>6.5704563958834443</v>
      </c>
      <c r="BM7">
        <f t="shared" si="21"/>
        <v>5.0953439451760826E-2</v>
      </c>
      <c r="BN7">
        <f t="shared" si="22"/>
        <v>5.0953439451760829</v>
      </c>
    </row>
    <row r="8" spans="2:66" x14ac:dyDescent="0.3">
      <c r="B8" s="39">
        <v>5</v>
      </c>
      <c r="C8" s="55"/>
      <c r="D8" s="40" t="s">
        <v>27</v>
      </c>
      <c r="E8" s="47" t="s">
        <v>26</v>
      </c>
      <c r="F8" s="39">
        <v>20.228014999999999</v>
      </c>
      <c r="G8" s="39">
        <v>85.833273000000005</v>
      </c>
      <c r="H8" s="39">
        <v>7.81</v>
      </c>
      <c r="I8" s="39">
        <v>350</v>
      </c>
      <c r="J8" s="39">
        <v>224</v>
      </c>
      <c r="K8" s="39">
        <v>49</v>
      </c>
      <c r="L8" s="39">
        <v>108</v>
      </c>
      <c r="M8" s="43">
        <v>32.119999999999997</v>
      </c>
      <c r="N8" s="43">
        <v>6.71</v>
      </c>
      <c r="O8" s="43">
        <v>21.16</v>
      </c>
      <c r="P8" s="43">
        <v>5.6</v>
      </c>
      <c r="Q8" s="42">
        <v>0.12</v>
      </c>
      <c r="R8" s="43">
        <v>81.849999999999994</v>
      </c>
      <c r="S8" s="39">
        <v>39.119999999999997</v>
      </c>
      <c r="T8" s="39">
        <v>11.9</v>
      </c>
      <c r="U8" s="39">
        <v>4.87</v>
      </c>
      <c r="V8" s="39">
        <v>0.08</v>
      </c>
      <c r="W8" s="39">
        <v>7.48</v>
      </c>
      <c r="X8" s="39">
        <f t="shared" si="11"/>
        <v>227.5</v>
      </c>
      <c r="Y8">
        <f t="shared" si="0"/>
        <v>39.199999999999996</v>
      </c>
      <c r="Z8" s="44">
        <f t="shared" si="1"/>
        <v>188.3</v>
      </c>
      <c r="AA8" s="44"/>
      <c r="AB8" s="44">
        <f t="shared" si="12"/>
        <v>65.710000000000008</v>
      </c>
      <c r="AC8" s="44">
        <f t="shared" si="13"/>
        <v>137.82</v>
      </c>
      <c r="AD8" s="44">
        <f t="shared" si="14"/>
        <v>-72.109999999999985</v>
      </c>
      <c r="AE8" s="44">
        <f t="shared" si="15"/>
        <v>203.53</v>
      </c>
      <c r="AF8" s="44">
        <f t="shared" si="16"/>
        <v>-35.429666388247426</v>
      </c>
      <c r="AG8" s="45">
        <f t="shared" si="2"/>
        <v>1.6059999999999999</v>
      </c>
      <c r="AH8" s="44">
        <v>2</v>
      </c>
      <c r="AI8" s="44">
        <v>40</v>
      </c>
      <c r="AJ8" s="46">
        <f t="shared" si="3"/>
        <v>0.5522633744855967</v>
      </c>
      <c r="AK8">
        <v>2</v>
      </c>
      <c r="AL8">
        <v>24.3</v>
      </c>
      <c r="AM8" s="46">
        <f t="shared" si="4"/>
        <v>0.92</v>
      </c>
      <c r="AN8">
        <v>1</v>
      </c>
      <c r="AO8">
        <v>23</v>
      </c>
      <c r="AP8" s="46">
        <f t="shared" si="5"/>
        <v>0.14358974358974358</v>
      </c>
      <c r="AQ8">
        <v>1</v>
      </c>
      <c r="AR8">
        <v>39</v>
      </c>
      <c r="AS8" s="46">
        <f t="shared" si="6"/>
        <v>1.1019718309859154</v>
      </c>
      <c r="AT8">
        <v>1</v>
      </c>
      <c r="AU8">
        <v>35.5</v>
      </c>
      <c r="AV8" s="46">
        <f t="shared" si="7"/>
        <v>4.2127435492364407E-3</v>
      </c>
      <c r="AW8">
        <v>1</v>
      </c>
      <c r="AX8">
        <v>18.989999999999998</v>
      </c>
      <c r="AY8" s="46">
        <f t="shared" si="8"/>
        <v>7.8535720045154009E-2</v>
      </c>
      <c r="AZ8">
        <v>1</v>
      </c>
      <c r="BA8">
        <v>62.01</v>
      </c>
      <c r="BB8" s="46">
        <f t="shared" si="9"/>
        <v>0.24791666666666667</v>
      </c>
      <c r="BC8">
        <v>2</v>
      </c>
      <c r="BD8">
        <v>96</v>
      </c>
      <c r="BE8" s="46">
        <f t="shared" si="10"/>
        <v>1.3418032786885246</v>
      </c>
      <c r="BF8">
        <v>1</v>
      </c>
      <c r="BG8">
        <v>61</v>
      </c>
      <c r="BI8" s="44">
        <f t="shared" si="17"/>
        <v>3.22185311807534</v>
      </c>
      <c r="BJ8">
        <f t="shared" si="18"/>
        <v>2.7744402399354975</v>
      </c>
      <c r="BK8" s="44">
        <f t="shared" si="19"/>
        <v>0.44741287813984254</v>
      </c>
      <c r="BL8" s="44">
        <f t="shared" si="20"/>
        <v>5.9962933580108375</v>
      </c>
      <c r="BM8">
        <f t="shared" si="21"/>
        <v>7.4614908148567249E-2</v>
      </c>
      <c r="BN8">
        <f t="shared" si="22"/>
        <v>7.4614908148567247</v>
      </c>
    </row>
    <row r="9" spans="2:66" ht="26.4" x14ac:dyDescent="0.3">
      <c r="B9" s="39">
        <v>6</v>
      </c>
      <c r="C9" s="55" t="s">
        <v>25</v>
      </c>
      <c r="D9" s="40" t="s">
        <v>24</v>
      </c>
      <c r="E9" s="39" t="s">
        <v>23</v>
      </c>
      <c r="F9" s="39">
        <v>20.305157999999999</v>
      </c>
      <c r="G9" s="39">
        <v>85.857224000000002</v>
      </c>
      <c r="H9" s="39">
        <v>6.76</v>
      </c>
      <c r="I9" s="39">
        <v>508</v>
      </c>
      <c r="J9" s="39">
        <v>325</v>
      </c>
      <c r="K9" s="39">
        <v>42</v>
      </c>
      <c r="L9" s="39">
        <v>119</v>
      </c>
      <c r="M9" s="43">
        <v>34.299999999999997</v>
      </c>
      <c r="N9" s="43">
        <v>8.1300000000000008</v>
      </c>
      <c r="O9" s="43">
        <v>33.869999999999997</v>
      </c>
      <c r="P9" s="43">
        <v>8.7100000000000009</v>
      </c>
      <c r="Q9" s="42">
        <v>0.35</v>
      </c>
      <c r="R9" s="43">
        <v>116.25</v>
      </c>
      <c r="S9" s="39">
        <v>64.849999999999994</v>
      </c>
      <c r="T9" s="39">
        <v>22.9</v>
      </c>
      <c r="U9" s="39">
        <v>32.89</v>
      </c>
      <c r="V9" s="39">
        <v>7.0000000000000007E-2</v>
      </c>
      <c r="W9" s="39">
        <v>6.34</v>
      </c>
      <c r="X9" s="39">
        <f t="shared" si="11"/>
        <v>330.2</v>
      </c>
      <c r="Y9">
        <f t="shared" si="0"/>
        <v>64.919999999999987</v>
      </c>
      <c r="Z9" s="44">
        <f t="shared" si="1"/>
        <v>265.27999999999997</v>
      </c>
      <c r="AA9" s="44"/>
      <c r="AB9" s="44">
        <f t="shared" si="12"/>
        <v>85.359999999999985</v>
      </c>
      <c r="AC9" s="44">
        <f t="shared" si="13"/>
        <v>236.96</v>
      </c>
      <c r="AD9" s="44">
        <f t="shared" si="14"/>
        <v>-151.60000000000002</v>
      </c>
      <c r="AE9" s="44">
        <f t="shared" si="15"/>
        <v>322.32</v>
      </c>
      <c r="AF9" s="44">
        <f t="shared" si="16"/>
        <v>-47.034003474807648</v>
      </c>
      <c r="AG9" s="45">
        <f t="shared" si="2"/>
        <v>1.7149999999999999</v>
      </c>
      <c r="AH9" s="44">
        <v>2</v>
      </c>
      <c r="AI9" s="44">
        <v>40</v>
      </c>
      <c r="AJ9" s="46">
        <f t="shared" si="3"/>
        <v>0.66913580246913584</v>
      </c>
      <c r="AK9">
        <v>2</v>
      </c>
      <c r="AL9">
        <v>24.3</v>
      </c>
      <c r="AM9" s="46">
        <f t="shared" si="4"/>
        <v>1.4726086956521738</v>
      </c>
      <c r="AN9">
        <v>1</v>
      </c>
      <c r="AO9">
        <v>23</v>
      </c>
      <c r="AP9" s="46">
        <f t="shared" si="5"/>
        <v>0.22333333333333336</v>
      </c>
      <c r="AQ9">
        <v>1</v>
      </c>
      <c r="AR9">
        <v>39</v>
      </c>
      <c r="AS9" s="46">
        <f t="shared" si="6"/>
        <v>1.8267605633802815</v>
      </c>
      <c r="AT9">
        <v>1</v>
      </c>
      <c r="AU9">
        <v>35.5</v>
      </c>
      <c r="AV9" s="46">
        <f t="shared" si="7"/>
        <v>3.6861506055818859E-3</v>
      </c>
      <c r="AW9">
        <v>1</v>
      </c>
      <c r="AX9">
        <v>18.989999999999998</v>
      </c>
      <c r="AY9" s="46">
        <f t="shared" si="8"/>
        <v>0.53039832285115307</v>
      </c>
      <c r="AZ9">
        <v>1</v>
      </c>
      <c r="BA9">
        <v>62.01</v>
      </c>
      <c r="BB9" s="46">
        <f t="shared" si="9"/>
        <v>0.4770833333333333</v>
      </c>
      <c r="BC9">
        <v>2</v>
      </c>
      <c r="BD9">
        <v>96</v>
      </c>
      <c r="BE9" s="46">
        <f t="shared" si="10"/>
        <v>1.9057377049180328</v>
      </c>
      <c r="BF9">
        <v>1</v>
      </c>
      <c r="BG9">
        <v>61</v>
      </c>
      <c r="BI9" s="44">
        <f t="shared" si="17"/>
        <v>4.0800778314546431</v>
      </c>
      <c r="BJ9">
        <f t="shared" si="18"/>
        <v>4.7436660750883828</v>
      </c>
      <c r="BK9" s="44">
        <f t="shared" si="19"/>
        <v>-0.66358824363373969</v>
      </c>
      <c r="BL9" s="44">
        <f t="shared" si="20"/>
        <v>8.8237439065430259</v>
      </c>
      <c r="BM9">
        <f t="shared" si="21"/>
        <v>-7.5204839426682865E-2</v>
      </c>
      <c r="BN9">
        <f t="shared" si="22"/>
        <v>-7.5204839426682861</v>
      </c>
    </row>
    <row r="10" spans="2:66" x14ac:dyDescent="0.3">
      <c r="B10" s="39">
        <v>7</v>
      </c>
      <c r="C10" s="55"/>
      <c r="D10" s="40" t="s">
        <v>22</v>
      </c>
      <c r="E10" s="39" t="s">
        <v>21</v>
      </c>
      <c r="F10" s="39">
        <v>20.347449000000001</v>
      </c>
      <c r="G10" s="39">
        <v>85.814167999999995</v>
      </c>
      <c r="H10" s="39">
        <v>4.4800000000000004</v>
      </c>
      <c r="I10" s="39">
        <v>422</v>
      </c>
      <c r="J10" s="39">
        <v>270</v>
      </c>
      <c r="K10" s="39">
        <v>9</v>
      </c>
      <c r="L10" s="39">
        <v>116</v>
      </c>
      <c r="M10" s="43">
        <v>33.32</v>
      </c>
      <c r="N10" s="43">
        <v>8</v>
      </c>
      <c r="O10" s="43">
        <v>34.549999999999997</v>
      </c>
      <c r="P10" s="43">
        <v>5.51</v>
      </c>
      <c r="Q10" s="42">
        <v>0.36</v>
      </c>
      <c r="R10" s="43">
        <v>101.5</v>
      </c>
      <c r="S10" s="39">
        <v>44.61</v>
      </c>
      <c r="T10" s="39">
        <v>7.8</v>
      </c>
      <c r="U10" s="39">
        <v>32.65</v>
      </c>
      <c r="V10" s="39">
        <v>0.03</v>
      </c>
      <c r="W10" s="39">
        <v>6.18</v>
      </c>
      <c r="X10" s="39">
        <f t="shared" si="11"/>
        <v>274.3</v>
      </c>
      <c r="Y10">
        <f t="shared" si="0"/>
        <v>44.64</v>
      </c>
      <c r="Z10" s="44">
        <f t="shared" si="1"/>
        <v>229.66000000000003</v>
      </c>
      <c r="AA10" s="44"/>
      <c r="AB10" s="44">
        <f t="shared" si="12"/>
        <v>81.739999999999995</v>
      </c>
      <c r="AC10" s="44">
        <f t="shared" si="13"/>
        <v>186.58999999999997</v>
      </c>
      <c r="AD10" s="44">
        <f t="shared" si="14"/>
        <v>-104.84999999999998</v>
      </c>
      <c r="AE10" s="44">
        <f t="shared" si="15"/>
        <v>268.33</v>
      </c>
      <c r="AF10" s="44">
        <f t="shared" si="16"/>
        <v>-39.075019565460437</v>
      </c>
      <c r="AG10" s="45">
        <f t="shared" si="2"/>
        <v>1.6659999999999999</v>
      </c>
      <c r="AH10" s="44">
        <v>2</v>
      </c>
      <c r="AI10" s="44">
        <v>40</v>
      </c>
      <c r="AJ10" s="46">
        <f t="shared" si="3"/>
        <v>0.65843621399176955</v>
      </c>
      <c r="AK10">
        <v>2</v>
      </c>
      <c r="AL10">
        <v>24.3</v>
      </c>
      <c r="AM10" s="46">
        <f t="shared" si="4"/>
        <v>1.5021739130434781</v>
      </c>
      <c r="AN10">
        <v>1</v>
      </c>
      <c r="AO10">
        <v>23</v>
      </c>
      <c r="AP10" s="46">
        <f t="shared" si="5"/>
        <v>0.14128205128205126</v>
      </c>
      <c r="AQ10">
        <v>1</v>
      </c>
      <c r="AR10">
        <v>39</v>
      </c>
      <c r="AS10" s="46">
        <f t="shared" si="6"/>
        <v>1.2566197183098591</v>
      </c>
      <c r="AT10">
        <v>1</v>
      </c>
      <c r="AU10">
        <v>35.5</v>
      </c>
      <c r="AV10" s="46">
        <f t="shared" si="7"/>
        <v>1.5797788309636651E-3</v>
      </c>
      <c r="AW10">
        <v>1</v>
      </c>
      <c r="AX10">
        <v>18.989999999999998</v>
      </c>
      <c r="AY10" s="46">
        <f t="shared" si="8"/>
        <v>0.52652797935816809</v>
      </c>
      <c r="AZ10">
        <v>1</v>
      </c>
      <c r="BA10">
        <v>62.01</v>
      </c>
      <c r="BB10" s="46">
        <f t="shared" si="9"/>
        <v>0.16250000000000001</v>
      </c>
      <c r="BC10">
        <v>2</v>
      </c>
      <c r="BD10">
        <v>96</v>
      </c>
      <c r="BE10" s="46">
        <f t="shared" si="10"/>
        <v>1.6639344262295082</v>
      </c>
      <c r="BF10">
        <v>1</v>
      </c>
      <c r="BG10">
        <v>61</v>
      </c>
      <c r="BI10" s="44">
        <f t="shared" si="17"/>
        <v>3.9678921783172991</v>
      </c>
      <c r="BJ10">
        <f t="shared" si="18"/>
        <v>3.6111619027284991</v>
      </c>
      <c r="BK10" s="44">
        <f t="shared" si="19"/>
        <v>0.35673027558879999</v>
      </c>
      <c r="BL10" s="44">
        <f t="shared" si="20"/>
        <v>7.5790540810457987</v>
      </c>
      <c r="BM10">
        <f t="shared" si="21"/>
        <v>4.7067915306335487E-2</v>
      </c>
      <c r="BN10">
        <f t="shared" si="22"/>
        <v>4.7067915306335486</v>
      </c>
    </row>
    <row r="11" spans="2:66" x14ac:dyDescent="0.3">
      <c r="B11" s="39">
        <v>8</v>
      </c>
      <c r="C11" s="55"/>
      <c r="D11" s="40" t="s">
        <v>20</v>
      </c>
      <c r="E11" s="39" t="s">
        <v>19</v>
      </c>
      <c r="F11" s="39">
        <v>20.329160000000002</v>
      </c>
      <c r="G11" s="39">
        <v>85.826770999999994</v>
      </c>
      <c r="H11" s="39">
        <v>6.38</v>
      </c>
      <c r="I11" s="39">
        <v>409</v>
      </c>
      <c r="J11" s="39">
        <v>262</v>
      </c>
      <c r="K11" s="39">
        <v>39</v>
      </c>
      <c r="L11" s="39">
        <v>113</v>
      </c>
      <c r="M11" s="43">
        <v>33.5</v>
      </c>
      <c r="N11" s="43">
        <v>7.06</v>
      </c>
      <c r="O11" s="43">
        <v>32.74</v>
      </c>
      <c r="P11" s="43">
        <v>6.37</v>
      </c>
      <c r="Q11" s="42">
        <v>0.26</v>
      </c>
      <c r="R11" s="43">
        <v>76.099999999999994</v>
      </c>
      <c r="S11" s="39">
        <v>58.13</v>
      </c>
      <c r="T11" s="39">
        <v>19.09</v>
      </c>
      <c r="U11" s="39">
        <v>22.66</v>
      </c>
      <c r="V11" s="39">
        <v>0.04</v>
      </c>
      <c r="W11" s="39">
        <v>6.79</v>
      </c>
      <c r="X11" s="39">
        <f t="shared" si="11"/>
        <v>265.85000000000002</v>
      </c>
      <c r="Y11">
        <f t="shared" si="0"/>
        <v>58.17</v>
      </c>
      <c r="Z11" s="44">
        <f t="shared" si="1"/>
        <v>207.68</v>
      </c>
      <c r="AA11" s="44"/>
      <c r="AB11" s="44">
        <f t="shared" si="12"/>
        <v>79.930000000000007</v>
      </c>
      <c r="AC11" s="44">
        <f t="shared" si="13"/>
        <v>176.02</v>
      </c>
      <c r="AD11" s="44">
        <f t="shared" si="14"/>
        <v>-96.09</v>
      </c>
      <c r="AE11" s="44">
        <f t="shared" si="15"/>
        <v>255.95000000000002</v>
      </c>
      <c r="AF11" s="44">
        <f t="shared" si="16"/>
        <v>-37.542488767337368</v>
      </c>
      <c r="AG11" s="45">
        <f t="shared" si="2"/>
        <v>1.675</v>
      </c>
      <c r="AH11" s="44">
        <v>2</v>
      </c>
      <c r="AI11" s="44">
        <v>40</v>
      </c>
      <c r="AJ11" s="46">
        <f t="shared" si="3"/>
        <v>0.5810699588477366</v>
      </c>
      <c r="AK11">
        <v>2</v>
      </c>
      <c r="AL11">
        <v>24.3</v>
      </c>
      <c r="AM11" s="46">
        <f t="shared" si="4"/>
        <v>1.4234782608695653</v>
      </c>
      <c r="AN11">
        <v>1</v>
      </c>
      <c r="AO11">
        <v>23</v>
      </c>
      <c r="AP11" s="46">
        <f t="shared" si="5"/>
        <v>0.16333333333333333</v>
      </c>
      <c r="AQ11">
        <v>1</v>
      </c>
      <c r="AR11">
        <v>39</v>
      </c>
      <c r="AS11" s="46">
        <f t="shared" si="6"/>
        <v>1.6374647887323945</v>
      </c>
      <c r="AT11">
        <v>1</v>
      </c>
      <c r="AU11">
        <v>35.5</v>
      </c>
      <c r="AV11" s="46">
        <f t="shared" si="7"/>
        <v>2.1063717746182204E-3</v>
      </c>
      <c r="AW11">
        <v>1</v>
      </c>
      <c r="AX11">
        <v>18.989999999999998</v>
      </c>
      <c r="AY11" s="46">
        <f t="shared" si="8"/>
        <v>0.3654249314626673</v>
      </c>
      <c r="AZ11">
        <v>1</v>
      </c>
      <c r="BA11">
        <v>62.01</v>
      </c>
      <c r="BB11" s="46">
        <f t="shared" si="9"/>
        <v>0.39770833333333333</v>
      </c>
      <c r="BC11">
        <v>2</v>
      </c>
      <c r="BD11">
        <v>96</v>
      </c>
      <c r="BE11" s="46">
        <f t="shared" si="10"/>
        <v>1.2475409836065572</v>
      </c>
      <c r="BF11">
        <v>1</v>
      </c>
      <c r="BG11">
        <v>61</v>
      </c>
      <c r="BI11" s="44">
        <f t="shared" si="17"/>
        <v>3.8428815530506348</v>
      </c>
      <c r="BJ11">
        <f t="shared" si="18"/>
        <v>3.6502454089095702</v>
      </c>
      <c r="BK11" s="44">
        <f t="shared" si="19"/>
        <v>0.19263614414106467</v>
      </c>
      <c r="BL11" s="44">
        <f t="shared" si="20"/>
        <v>7.493126961960205</v>
      </c>
      <c r="BM11">
        <f t="shared" si="21"/>
        <v>2.5708378507264873E-2</v>
      </c>
      <c r="BN11">
        <f t="shared" si="22"/>
        <v>2.5708378507264875</v>
      </c>
    </row>
    <row r="12" spans="2:66" x14ac:dyDescent="0.3">
      <c r="B12" s="39">
        <v>9</v>
      </c>
      <c r="C12" s="55"/>
      <c r="D12" s="40" t="s">
        <v>18</v>
      </c>
      <c r="E12" s="39" t="s">
        <v>17</v>
      </c>
      <c r="F12" s="39">
        <v>20.298776</v>
      </c>
      <c r="G12" s="39">
        <v>85.866260999999994</v>
      </c>
      <c r="H12" s="39">
        <v>6.57</v>
      </c>
      <c r="I12" s="39">
        <v>395</v>
      </c>
      <c r="J12" s="39">
        <v>253</v>
      </c>
      <c r="K12" s="39">
        <v>36</v>
      </c>
      <c r="L12" s="39">
        <v>112</v>
      </c>
      <c r="M12" s="43">
        <v>33.44</v>
      </c>
      <c r="N12" s="43">
        <v>6.95</v>
      </c>
      <c r="O12" s="43">
        <v>21.69</v>
      </c>
      <c r="P12" s="43">
        <v>5.94</v>
      </c>
      <c r="Q12" s="42">
        <v>0.22</v>
      </c>
      <c r="R12" s="43">
        <v>111.38</v>
      </c>
      <c r="S12" s="39">
        <v>41.79</v>
      </c>
      <c r="T12" s="39">
        <v>15.71</v>
      </c>
      <c r="U12" s="39">
        <v>9.85</v>
      </c>
      <c r="V12" s="39">
        <v>0.08</v>
      </c>
      <c r="W12" s="39">
        <v>6.54</v>
      </c>
      <c r="X12" s="39">
        <f t="shared" si="11"/>
        <v>256.75</v>
      </c>
      <c r="Y12">
        <f t="shared" si="0"/>
        <v>41.87</v>
      </c>
      <c r="Z12" s="44">
        <f t="shared" si="1"/>
        <v>214.88</v>
      </c>
      <c r="AA12" s="44"/>
      <c r="AB12" s="44">
        <f t="shared" si="12"/>
        <v>68.240000000000009</v>
      </c>
      <c r="AC12" s="44">
        <f t="shared" si="13"/>
        <v>178.81</v>
      </c>
      <c r="AD12" s="44">
        <f t="shared" si="14"/>
        <v>-110.57</v>
      </c>
      <c r="AE12" s="44">
        <f t="shared" si="15"/>
        <v>247.05</v>
      </c>
      <c r="AF12" s="44">
        <f t="shared" si="16"/>
        <v>-44.756122242461032</v>
      </c>
      <c r="AG12" s="45">
        <f t="shared" si="2"/>
        <v>1.6719999999999999</v>
      </c>
      <c r="AH12" s="44">
        <v>2</v>
      </c>
      <c r="AI12" s="44">
        <v>40</v>
      </c>
      <c r="AJ12" s="46">
        <f t="shared" si="3"/>
        <v>0.57201646090534974</v>
      </c>
      <c r="AK12">
        <v>2</v>
      </c>
      <c r="AL12">
        <v>24.3</v>
      </c>
      <c r="AM12" s="46">
        <f t="shared" si="4"/>
        <v>0.94304347826086965</v>
      </c>
      <c r="AN12">
        <v>1</v>
      </c>
      <c r="AO12">
        <v>23</v>
      </c>
      <c r="AP12" s="46">
        <f t="shared" si="5"/>
        <v>0.15230769230769231</v>
      </c>
      <c r="AQ12">
        <v>1</v>
      </c>
      <c r="AR12">
        <v>39</v>
      </c>
      <c r="AS12" s="46">
        <f t="shared" si="6"/>
        <v>1.1771830985915492</v>
      </c>
      <c r="AT12">
        <v>1</v>
      </c>
      <c r="AU12">
        <v>35.5</v>
      </c>
      <c r="AV12" s="46">
        <f t="shared" si="7"/>
        <v>4.2127435492364407E-3</v>
      </c>
      <c r="AW12">
        <v>1</v>
      </c>
      <c r="AX12">
        <v>18.989999999999998</v>
      </c>
      <c r="AY12" s="46">
        <f t="shared" si="8"/>
        <v>0.15884534752459281</v>
      </c>
      <c r="AZ12">
        <v>1</v>
      </c>
      <c r="BA12">
        <v>62.01</v>
      </c>
      <c r="BB12" s="46">
        <f t="shared" si="9"/>
        <v>0.3272916666666667</v>
      </c>
      <c r="BC12">
        <v>2</v>
      </c>
      <c r="BD12">
        <v>96</v>
      </c>
      <c r="BE12" s="46">
        <f t="shared" si="10"/>
        <v>1.8259016393442622</v>
      </c>
      <c r="BF12">
        <v>1</v>
      </c>
      <c r="BG12">
        <v>61</v>
      </c>
      <c r="BI12" s="44">
        <f t="shared" si="17"/>
        <v>3.3393676314739116</v>
      </c>
      <c r="BJ12">
        <f t="shared" si="18"/>
        <v>3.4934344956763077</v>
      </c>
      <c r="BK12" s="44">
        <f t="shared" si="19"/>
        <v>-0.15406686420239613</v>
      </c>
      <c r="BL12" s="44">
        <f t="shared" si="20"/>
        <v>6.8328021271502193</v>
      </c>
      <c r="BM12">
        <f t="shared" si="21"/>
        <v>-2.2548123205589347E-2</v>
      </c>
      <c r="BN12">
        <f t="shared" si="22"/>
        <v>-2.2548123205589348</v>
      </c>
    </row>
    <row r="13" spans="2:66" x14ac:dyDescent="0.3">
      <c r="B13" s="39">
        <v>10</v>
      </c>
      <c r="C13" s="55"/>
      <c r="D13" s="40" t="s">
        <v>16</v>
      </c>
      <c r="E13" s="39" t="s">
        <v>15</v>
      </c>
      <c r="F13" s="39">
        <v>20.36326</v>
      </c>
      <c r="G13" s="39">
        <v>85.753206000000006</v>
      </c>
      <c r="H13" s="39">
        <v>5.35</v>
      </c>
      <c r="I13" s="39">
        <v>350</v>
      </c>
      <c r="J13" s="39">
        <v>224</v>
      </c>
      <c r="K13" s="49">
        <v>11</v>
      </c>
      <c r="L13" s="39">
        <v>105</v>
      </c>
      <c r="M13" s="43">
        <v>31.53</v>
      </c>
      <c r="N13" s="43">
        <v>6.39</v>
      </c>
      <c r="O13" s="43">
        <v>20.37</v>
      </c>
      <c r="P13" s="43">
        <v>5.53</v>
      </c>
      <c r="Q13" s="42">
        <v>0.22</v>
      </c>
      <c r="R13" s="43">
        <v>83.89</v>
      </c>
      <c r="S13" s="39">
        <v>35.01</v>
      </c>
      <c r="T13" s="39">
        <v>12.08</v>
      </c>
      <c r="U13" s="39">
        <v>13.39</v>
      </c>
      <c r="V13" s="39">
        <v>0.03</v>
      </c>
      <c r="W13" s="39">
        <v>6.39</v>
      </c>
      <c r="X13" s="39">
        <f t="shared" si="11"/>
        <v>227.5</v>
      </c>
      <c r="Y13">
        <f t="shared" si="0"/>
        <v>35.04</v>
      </c>
      <c r="Z13" s="44">
        <f t="shared" si="1"/>
        <v>192.46</v>
      </c>
      <c r="AA13" s="44"/>
      <c r="AB13" s="44">
        <f t="shared" si="12"/>
        <v>64.040000000000006</v>
      </c>
      <c r="AC13" s="44">
        <f t="shared" si="13"/>
        <v>144.4</v>
      </c>
      <c r="AD13" s="44">
        <f t="shared" si="14"/>
        <v>-80.36</v>
      </c>
      <c r="AE13" s="44">
        <f t="shared" si="15"/>
        <v>208.44</v>
      </c>
      <c r="AF13" s="44">
        <f t="shared" si="16"/>
        <v>-38.553060832853582</v>
      </c>
      <c r="AG13" s="45">
        <f t="shared" si="2"/>
        <v>1.5765</v>
      </c>
      <c r="AH13" s="44">
        <v>2</v>
      </c>
      <c r="AI13" s="44">
        <v>40</v>
      </c>
      <c r="AJ13" s="46">
        <f t="shared" si="3"/>
        <v>0.52592592592592591</v>
      </c>
      <c r="AK13">
        <v>2</v>
      </c>
      <c r="AL13">
        <v>24.3</v>
      </c>
      <c r="AM13" s="46">
        <f t="shared" si="4"/>
        <v>0.88565217391304352</v>
      </c>
      <c r="AN13">
        <v>1</v>
      </c>
      <c r="AO13">
        <v>23</v>
      </c>
      <c r="AP13" s="46">
        <f t="shared" si="5"/>
        <v>0.1417948717948718</v>
      </c>
      <c r="AQ13">
        <v>1</v>
      </c>
      <c r="AR13">
        <v>39</v>
      </c>
      <c r="AS13" s="46">
        <f t="shared" si="6"/>
        <v>0.9861971830985915</v>
      </c>
      <c r="AT13">
        <v>1</v>
      </c>
      <c r="AU13">
        <v>35.5</v>
      </c>
      <c r="AV13" s="46">
        <f t="shared" si="7"/>
        <v>1.5797788309636651E-3</v>
      </c>
      <c r="AW13">
        <v>1</v>
      </c>
      <c r="AX13">
        <v>18.989999999999998</v>
      </c>
      <c r="AY13" s="46">
        <f t="shared" si="8"/>
        <v>0.21593291404612161</v>
      </c>
      <c r="AZ13">
        <v>1</v>
      </c>
      <c r="BA13">
        <v>62.01</v>
      </c>
      <c r="BB13" s="46">
        <f t="shared" si="9"/>
        <v>0.25166666666666665</v>
      </c>
      <c r="BC13">
        <v>2</v>
      </c>
      <c r="BD13">
        <v>96</v>
      </c>
      <c r="BE13" s="46">
        <f t="shared" si="10"/>
        <v>1.3752459016393443</v>
      </c>
      <c r="BF13">
        <v>1</v>
      </c>
      <c r="BG13">
        <v>61</v>
      </c>
      <c r="BI13" s="44">
        <f t="shared" si="17"/>
        <v>3.1298729716338411</v>
      </c>
      <c r="BJ13">
        <f t="shared" si="18"/>
        <v>2.8306224442816879</v>
      </c>
      <c r="BK13" s="44">
        <f t="shared" si="19"/>
        <v>0.29925052735215329</v>
      </c>
      <c r="BL13" s="44">
        <f t="shared" si="20"/>
        <v>5.9604954159155294</v>
      </c>
      <c r="BM13">
        <f t="shared" si="21"/>
        <v>5.0205646757667803E-2</v>
      </c>
      <c r="BN13">
        <f t="shared" si="22"/>
        <v>5.0205646757667806</v>
      </c>
    </row>
    <row r="14" spans="2:66" x14ac:dyDescent="0.3">
      <c r="B14" s="39">
        <v>11</v>
      </c>
      <c r="C14" s="55" t="s">
        <v>14</v>
      </c>
      <c r="D14" s="40" t="s">
        <v>13</v>
      </c>
      <c r="E14" s="39" t="s">
        <v>12</v>
      </c>
      <c r="F14" s="39">
        <v>20.388677999999999</v>
      </c>
      <c r="G14" s="39">
        <v>85.792107000000001</v>
      </c>
      <c r="H14" s="39">
        <v>5.44</v>
      </c>
      <c r="I14" s="39">
        <v>425</v>
      </c>
      <c r="J14" s="39">
        <v>272</v>
      </c>
      <c r="K14" s="39">
        <v>9</v>
      </c>
      <c r="L14" s="39">
        <v>118</v>
      </c>
      <c r="M14" s="43">
        <v>34.15</v>
      </c>
      <c r="N14" s="43">
        <v>8.07</v>
      </c>
      <c r="O14" s="43">
        <v>22.45</v>
      </c>
      <c r="P14" s="43">
        <v>7.63</v>
      </c>
      <c r="Q14" s="42">
        <v>0.32</v>
      </c>
      <c r="R14" s="43">
        <v>122.79</v>
      </c>
      <c r="S14" s="39">
        <v>32.1</v>
      </c>
      <c r="T14" s="39">
        <v>15.7</v>
      </c>
      <c r="U14" s="39">
        <v>19.739999999999998</v>
      </c>
      <c r="V14" s="39">
        <v>0.04</v>
      </c>
      <c r="W14" s="39">
        <v>7.36</v>
      </c>
      <c r="X14" s="39">
        <f t="shared" si="11"/>
        <v>276.25</v>
      </c>
      <c r="Y14">
        <f t="shared" si="0"/>
        <v>32.14</v>
      </c>
      <c r="Z14" s="44">
        <f t="shared" si="1"/>
        <v>244.11</v>
      </c>
      <c r="AA14" s="44"/>
      <c r="AB14" s="44">
        <f t="shared" si="12"/>
        <v>72.61999999999999</v>
      </c>
      <c r="AC14" s="44">
        <f t="shared" si="13"/>
        <v>190.37</v>
      </c>
      <c r="AD14" s="44">
        <f t="shared" si="14"/>
        <v>-117.75000000000001</v>
      </c>
      <c r="AE14" s="44">
        <f t="shared" si="15"/>
        <v>262.99</v>
      </c>
      <c r="AF14" s="44">
        <f t="shared" si="16"/>
        <v>-44.773565534811219</v>
      </c>
      <c r="AG14" s="45">
        <f t="shared" si="2"/>
        <v>1.7075</v>
      </c>
      <c r="AH14" s="44">
        <v>2</v>
      </c>
      <c r="AI14" s="44">
        <v>40</v>
      </c>
      <c r="AJ14" s="46">
        <f t="shared" si="3"/>
        <v>0.66419753086419753</v>
      </c>
      <c r="AK14">
        <v>2</v>
      </c>
      <c r="AL14">
        <v>24.3</v>
      </c>
      <c r="AM14" s="46">
        <f t="shared" si="4"/>
        <v>0.97608695652173905</v>
      </c>
      <c r="AN14">
        <v>1</v>
      </c>
      <c r="AO14">
        <v>23</v>
      </c>
      <c r="AP14" s="46">
        <f t="shared" si="5"/>
        <v>0.19564102564102565</v>
      </c>
      <c r="AQ14">
        <v>1</v>
      </c>
      <c r="AR14">
        <v>39</v>
      </c>
      <c r="AS14" s="46">
        <f t="shared" si="6"/>
        <v>0.90422535211267607</v>
      </c>
      <c r="AT14">
        <v>1</v>
      </c>
      <c r="AU14">
        <v>35.5</v>
      </c>
      <c r="AV14" s="46">
        <f t="shared" si="7"/>
        <v>2.1063717746182204E-3</v>
      </c>
      <c r="AW14">
        <v>1</v>
      </c>
      <c r="AX14">
        <v>18.989999999999998</v>
      </c>
      <c r="AY14" s="46">
        <f t="shared" si="8"/>
        <v>0.31833575229801642</v>
      </c>
      <c r="AZ14">
        <v>1</v>
      </c>
      <c r="BA14">
        <v>62.01</v>
      </c>
      <c r="BB14" s="46">
        <f t="shared" si="9"/>
        <v>0.32708333333333334</v>
      </c>
      <c r="BC14">
        <v>2</v>
      </c>
      <c r="BD14">
        <v>96</v>
      </c>
      <c r="BE14" s="46">
        <f t="shared" si="10"/>
        <v>2.0129508196721311</v>
      </c>
      <c r="BF14">
        <v>1</v>
      </c>
      <c r="BG14">
        <v>61</v>
      </c>
      <c r="BI14" s="44">
        <f t="shared" si="17"/>
        <v>3.5434255130269623</v>
      </c>
      <c r="BJ14">
        <f t="shared" si="18"/>
        <v>3.5647016291907754</v>
      </c>
      <c r="BK14" s="44">
        <f t="shared" si="19"/>
        <v>-2.1276116163813086E-2</v>
      </c>
      <c r="BL14" s="44">
        <f t="shared" si="20"/>
        <v>7.1081271422177377</v>
      </c>
      <c r="BM14">
        <f t="shared" si="21"/>
        <v>-2.9932098481253292E-3</v>
      </c>
      <c r="BN14">
        <f t="shared" si="22"/>
        <v>-0.29932098481253294</v>
      </c>
    </row>
    <row r="15" spans="2:66" x14ac:dyDescent="0.3">
      <c r="B15" s="39">
        <v>12</v>
      </c>
      <c r="C15" s="55"/>
      <c r="D15" s="40" t="s">
        <v>11</v>
      </c>
      <c r="E15" s="39" t="s">
        <v>10</v>
      </c>
      <c r="F15" s="39">
        <v>20.235861</v>
      </c>
      <c r="G15" s="39">
        <v>85.835819999999998</v>
      </c>
      <c r="H15" s="39">
        <v>6.61</v>
      </c>
      <c r="I15" s="39">
        <v>488</v>
      </c>
      <c r="J15" s="39">
        <v>312</v>
      </c>
      <c r="K15" s="39">
        <v>38</v>
      </c>
      <c r="L15" s="39">
        <v>124</v>
      </c>
      <c r="M15" s="43">
        <v>34.32</v>
      </c>
      <c r="N15" s="43">
        <v>9.4</v>
      </c>
      <c r="O15" s="43">
        <v>31.15</v>
      </c>
      <c r="P15" s="43">
        <v>9.17</v>
      </c>
      <c r="Q15" s="42">
        <v>0.34</v>
      </c>
      <c r="R15" s="43">
        <v>119.11</v>
      </c>
      <c r="S15" s="39">
        <v>55.48</v>
      </c>
      <c r="T15" s="39">
        <v>25.4</v>
      </c>
      <c r="U15" s="39">
        <v>25.32</v>
      </c>
      <c r="V15" s="39">
        <v>0.06</v>
      </c>
      <c r="W15" s="39">
        <v>5.39</v>
      </c>
      <c r="X15" s="39">
        <f t="shared" si="11"/>
        <v>317.2</v>
      </c>
      <c r="Y15">
        <f t="shared" si="0"/>
        <v>55.54</v>
      </c>
      <c r="Z15" s="44">
        <f t="shared" si="1"/>
        <v>261.65999999999997</v>
      </c>
      <c r="AA15" s="44"/>
      <c r="AB15" s="44">
        <f t="shared" si="12"/>
        <v>84.38</v>
      </c>
      <c r="AC15" s="44">
        <f t="shared" si="13"/>
        <v>225.36999999999998</v>
      </c>
      <c r="AD15" s="44">
        <f t="shared" si="14"/>
        <v>-140.98999999999998</v>
      </c>
      <c r="AE15" s="44">
        <f t="shared" si="15"/>
        <v>309.75</v>
      </c>
      <c r="AF15" s="44">
        <f t="shared" si="16"/>
        <v>-45.517352703793371</v>
      </c>
      <c r="AG15" s="45">
        <f t="shared" si="2"/>
        <v>1.716</v>
      </c>
      <c r="AH15" s="44">
        <v>2</v>
      </c>
      <c r="AI15" s="44">
        <v>40</v>
      </c>
      <c r="AJ15" s="46">
        <f t="shared" si="3"/>
        <v>0.77366255144032925</v>
      </c>
      <c r="AK15">
        <v>2</v>
      </c>
      <c r="AL15">
        <v>24.3</v>
      </c>
      <c r="AM15" s="46">
        <f t="shared" si="4"/>
        <v>1.3543478260869564</v>
      </c>
      <c r="AN15">
        <v>1</v>
      </c>
      <c r="AO15">
        <v>23</v>
      </c>
      <c r="AP15" s="46">
        <f t="shared" si="5"/>
        <v>0.23512820512820512</v>
      </c>
      <c r="AQ15">
        <v>1</v>
      </c>
      <c r="AR15">
        <v>39</v>
      </c>
      <c r="AS15" s="46">
        <f t="shared" si="6"/>
        <v>1.5628169014084505</v>
      </c>
      <c r="AT15">
        <v>1</v>
      </c>
      <c r="AU15">
        <v>35.5</v>
      </c>
      <c r="AV15" s="46">
        <f t="shared" si="7"/>
        <v>3.1595576619273301E-3</v>
      </c>
      <c r="AW15">
        <v>1</v>
      </c>
      <c r="AX15">
        <v>18.989999999999998</v>
      </c>
      <c r="AY15" s="46">
        <f t="shared" si="8"/>
        <v>0.40832123850991775</v>
      </c>
      <c r="AZ15">
        <v>1</v>
      </c>
      <c r="BA15">
        <v>62.01</v>
      </c>
      <c r="BB15" s="46">
        <f t="shared" si="9"/>
        <v>0.52916666666666667</v>
      </c>
      <c r="BC15">
        <v>2</v>
      </c>
      <c r="BD15">
        <v>96</v>
      </c>
      <c r="BE15" s="46">
        <f t="shared" si="10"/>
        <v>1.9526229508196722</v>
      </c>
      <c r="BF15">
        <v>1</v>
      </c>
      <c r="BG15">
        <v>61</v>
      </c>
      <c r="BI15" s="44">
        <f t="shared" si="17"/>
        <v>4.0791385826554905</v>
      </c>
      <c r="BJ15">
        <f t="shared" si="18"/>
        <v>4.4560873150666342</v>
      </c>
      <c r="BK15" s="44">
        <f t="shared" si="19"/>
        <v>-0.37694873241114379</v>
      </c>
      <c r="BL15" s="44">
        <f t="shared" si="20"/>
        <v>8.5352258977221247</v>
      </c>
      <c r="BM15">
        <f t="shared" si="21"/>
        <v>-4.4163884697151788E-2</v>
      </c>
      <c r="BN15">
        <f t="shared" si="22"/>
        <v>-4.4163884697151792</v>
      </c>
    </row>
    <row r="16" spans="2:66" ht="26.4" x14ac:dyDescent="0.3">
      <c r="B16" s="39">
        <v>13</v>
      </c>
      <c r="C16" s="55"/>
      <c r="D16" s="40" t="s">
        <v>9</v>
      </c>
      <c r="E16" s="39" t="s">
        <v>8</v>
      </c>
      <c r="F16" s="39">
        <v>20.284300999999999</v>
      </c>
      <c r="G16" s="39">
        <v>85.833995000000002</v>
      </c>
      <c r="H16" s="39">
        <v>6.87</v>
      </c>
      <c r="I16" s="39">
        <v>395</v>
      </c>
      <c r="J16" s="39">
        <v>253</v>
      </c>
      <c r="K16" s="39">
        <v>35</v>
      </c>
      <c r="L16" s="39">
        <v>119</v>
      </c>
      <c r="M16" s="43">
        <v>32.880000000000003</v>
      </c>
      <c r="N16" s="43">
        <v>8.9700000000000006</v>
      </c>
      <c r="O16" s="43">
        <v>25.31</v>
      </c>
      <c r="P16" s="43">
        <v>7.62</v>
      </c>
      <c r="Q16" s="42">
        <v>0.23</v>
      </c>
      <c r="R16" s="43">
        <v>89.53</v>
      </c>
      <c r="S16" s="39">
        <v>35.450000000000003</v>
      </c>
      <c r="T16" s="39">
        <v>24.8</v>
      </c>
      <c r="U16" s="39">
        <v>18.98</v>
      </c>
      <c r="V16" s="39">
        <v>7.0000000000000007E-2</v>
      </c>
      <c r="W16" s="39">
        <v>7.11</v>
      </c>
      <c r="X16" s="39">
        <f t="shared" si="11"/>
        <v>256.75</v>
      </c>
      <c r="Y16">
        <f t="shared" si="0"/>
        <v>35.520000000000003</v>
      </c>
      <c r="Z16" s="44">
        <f t="shared" si="1"/>
        <v>221.23</v>
      </c>
      <c r="AA16" s="44"/>
      <c r="AB16" s="44">
        <f t="shared" si="12"/>
        <v>75.010000000000005</v>
      </c>
      <c r="AC16" s="44">
        <f t="shared" si="13"/>
        <v>168.82999999999998</v>
      </c>
      <c r="AD16" s="44">
        <f t="shared" si="14"/>
        <v>-93.819999999999979</v>
      </c>
      <c r="AE16" s="44">
        <f t="shared" si="15"/>
        <v>243.83999999999997</v>
      </c>
      <c r="AF16" s="44">
        <f t="shared" si="16"/>
        <v>-38.476049868766395</v>
      </c>
      <c r="AG16" s="45">
        <f t="shared" si="2"/>
        <v>1.6440000000000001</v>
      </c>
      <c r="AH16" s="44">
        <v>2</v>
      </c>
      <c r="AI16" s="44">
        <v>40</v>
      </c>
      <c r="AJ16" s="46">
        <f t="shared" si="3"/>
        <v>0.7382716049382716</v>
      </c>
      <c r="AK16">
        <v>2</v>
      </c>
      <c r="AL16">
        <v>24.3</v>
      </c>
      <c r="AM16" s="46">
        <f t="shared" si="4"/>
        <v>1.1004347826086955</v>
      </c>
      <c r="AN16">
        <v>1</v>
      </c>
      <c r="AO16">
        <v>23</v>
      </c>
      <c r="AP16" s="46">
        <f t="shared" si="5"/>
        <v>0.19538461538461538</v>
      </c>
      <c r="AQ16">
        <v>1</v>
      </c>
      <c r="AR16">
        <v>39</v>
      </c>
      <c r="AS16" s="46">
        <f t="shared" si="6"/>
        <v>0.99859154929577476</v>
      </c>
      <c r="AT16">
        <v>1</v>
      </c>
      <c r="AU16">
        <v>35.5</v>
      </c>
      <c r="AV16" s="46">
        <f t="shared" si="7"/>
        <v>3.6861506055818859E-3</v>
      </c>
      <c r="AW16">
        <v>1</v>
      </c>
      <c r="AX16">
        <v>18.989999999999998</v>
      </c>
      <c r="AY16" s="46">
        <f t="shared" si="8"/>
        <v>0.30607966457023061</v>
      </c>
      <c r="AZ16">
        <v>1</v>
      </c>
      <c r="BA16">
        <v>62.01</v>
      </c>
      <c r="BB16" s="46">
        <f t="shared" si="9"/>
        <v>0.51666666666666672</v>
      </c>
      <c r="BC16">
        <v>2</v>
      </c>
      <c r="BD16">
        <v>96</v>
      </c>
      <c r="BE16" s="46">
        <f t="shared" si="10"/>
        <v>1.4677049180327868</v>
      </c>
      <c r="BF16">
        <v>1</v>
      </c>
      <c r="BG16">
        <v>61</v>
      </c>
      <c r="BI16" s="44">
        <f t="shared" si="17"/>
        <v>3.6780910029315828</v>
      </c>
      <c r="BJ16">
        <f t="shared" si="18"/>
        <v>3.2927289491710408</v>
      </c>
      <c r="BK16" s="44">
        <f t="shared" si="19"/>
        <v>0.385362053760542</v>
      </c>
      <c r="BL16" s="44">
        <f t="shared" si="20"/>
        <v>6.9708199521026231</v>
      </c>
      <c r="BM16">
        <f t="shared" si="21"/>
        <v>5.5282170018507569E-2</v>
      </c>
      <c r="BN16">
        <f t="shared" si="22"/>
        <v>5.5282170018507566</v>
      </c>
    </row>
    <row r="17" spans="2:66" x14ac:dyDescent="0.3">
      <c r="B17" s="39">
        <v>14</v>
      </c>
      <c r="C17" s="55"/>
      <c r="D17" s="40" t="s">
        <v>7</v>
      </c>
      <c r="E17" s="39" t="s">
        <v>6</v>
      </c>
      <c r="F17" s="39">
        <v>20.326795000000001</v>
      </c>
      <c r="G17" s="39">
        <v>85.835967999999994</v>
      </c>
      <c r="H17" s="39">
        <v>5.81</v>
      </c>
      <c r="I17" s="39">
        <v>463</v>
      </c>
      <c r="J17" s="39">
        <v>296</v>
      </c>
      <c r="K17" s="39">
        <v>14</v>
      </c>
      <c r="L17" s="39">
        <v>123</v>
      </c>
      <c r="M17" s="43">
        <v>35.19</v>
      </c>
      <c r="N17" s="43">
        <v>8.6</v>
      </c>
      <c r="O17" s="43">
        <v>33.03</v>
      </c>
      <c r="P17" s="43">
        <v>7.79</v>
      </c>
      <c r="Q17" s="42">
        <v>0.39</v>
      </c>
      <c r="R17" s="43">
        <v>98.33</v>
      </c>
      <c r="S17" s="39">
        <v>45.45</v>
      </c>
      <c r="T17" s="39">
        <v>21.65</v>
      </c>
      <c r="U17" s="39">
        <v>42.86</v>
      </c>
      <c r="V17" s="39">
        <v>7.0000000000000007E-2</v>
      </c>
      <c r="W17" s="39">
        <v>5.62</v>
      </c>
      <c r="X17" s="39">
        <f t="shared" si="11"/>
        <v>300.95</v>
      </c>
      <c r="Y17">
        <f t="shared" si="0"/>
        <v>45.52</v>
      </c>
      <c r="Z17" s="44">
        <f t="shared" si="1"/>
        <v>255.42999999999998</v>
      </c>
      <c r="AA17" s="44"/>
      <c r="AB17" s="44">
        <f t="shared" si="12"/>
        <v>85</v>
      </c>
      <c r="AC17" s="44">
        <f t="shared" si="13"/>
        <v>208.35999999999996</v>
      </c>
      <c r="AD17" s="44">
        <f t="shared" si="14"/>
        <v>-123.35999999999996</v>
      </c>
      <c r="AE17" s="44">
        <f t="shared" si="15"/>
        <v>293.35999999999996</v>
      </c>
      <c r="AF17" s="44">
        <f t="shared" si="16"/>
        <v>-42.050722661576209</v>
      </c>
      <c r="AG17" s="45">
        <f t="shared" si="2"/>
        <v>1.7594999999999998</v>
      </c>
      <c r="AH17" s="44">
        <v>2</v>
      </c>
      <c r="AI17" s="44">
        <v>40</v>
      </c>
      <c r="AJ17" s="46">
        <f t="shared" si="3"/>
        <v>0.70781893004115226</v>
      </c>
      <c r="AK17">
        <v>2</v>
      </c>
      <c r="AL17">
        <v>24.3</v>
      </c>
      <c r="AM17" s="46">
        <f t="shared" si="4"/>
        <v>1.4360869565217391</v>
      </c>
      <c r="AN17">
        <v>1</v>
      </c>
      <c r="AO17">
        <v>23</v>
      </c>
      <c r="AP17" s="46">
        <f t="shared" si="5"/>
        <v>0.19974358974358974</v>
      </c>
      <c r="AQ17">
        <v>1</v>
      </c>
      <c r="AR17">
        <v>39</v>
      </c>
      <c r="AS17" s="46">
        <f t="shared" si="6"/>
        <v>1.2802816901408451</v>
      </c>
      <c r="AT17">
        <v>1</v>
      </c>
      <c r="AU17">
        <v>35.5</v>
      </c>
      <c r="AV17" s="46">
        <f t="shared" si="7"/>
        <v>3.6861506055818859E-3</v>
      </c>
      <c r="AW17">
        <v>1</v>
      </c>
      <c r="AX17">
        <v>18.989999999999998</v>
      </c>
      <c r="AY17" s="46">
        <f t="shared" si="8"/>
        <v>0.69117884212223835</v>
      </c>
      <c r="AZ17">
        <v>1</v>
      </c>
      <c r="BA17">
        <v>62.01</v>
      </c>
      <c r="BB17" s="46">
        <f t="shared" si="9"/>
        <v>0.45104166666666662</v>
      </c>
      <c r="BC17">
        <v>2</v>
      </c>
      <c r="BD17">
        <v>96</v>
      </c>
      <c r="BE17" s="46">
        <f t="shared" si="10"/>
        <v>1.611967213114754</v>
      </c>
      <c r="BF17">
        <v>1</v>
      </c>
      <c r="BG17">
        <v>61</v>
      </c>
      <c r="BI17" s="44">
        <f t="shared" si="17"/>
        <v>4.1031494763064806</v>
      </c>
      <c r="BJ17">
        <f t="shared" si="18"/>
        <v>4.0381555626500862</v>
      </c>
      <c r="BK17" s="44">
        <f t="shared" si="19"/>
        <v>6.4993913656394398E-2</v>
      </c>
      <c r="BL17" s="44">
        <f t="shared" si="20"/>
        <v>8.1413050389565669</v>
      </c>
      <c r="BM17">
        <f t="shared" si="21"/>
        <v>7.983230372206317E-3</v>
      </c>
      <c r="BN17">
        <f t="shared" si="22"/>
        <v>0.79832303722063169</v>
      </c>
    </row>
    <row r="18" spans="2:66" x14ac:dyDescent="0.3">
      <c r="B18" s="39">
        <v>15</v>
      </c>
      <c r="C18" s="55"/>
      <c r="D18" s="40" t="s">
        <v>5</v>
      </c>
      <c r="E18" s="39" t="s">
        <v>4</v>
      </c>
      <c r="F18" s="39">
        <v>20.382315999999999</v>
      </c>
      <c r="G18" s="39">
        <v>85.795062999999999</v>
      </c>
      <c r="H18" s="39">
        <v>5.96</v>
      </c>
      <c r="I18" s="39">
        <v>402</v>
      </c>
      <c r="J18" s="39">
        <v>257</v>
      </c>
      <c r="K18" s="39">
        <v>30</v>
      </c>
      <c r="L18" s="39">
        <v>109</v>
      </c>
      <c r="M18" s="43">
        <v>33.46</v>
      </c>
      <c r="N18" s="43">
        <v>6.18</v>
      </c>
      <c r="O18" s="43">
        <v>26.57</v>
      </c>
      <c r="P18" s="43">
        <v>8.32</v>
      </c>
      <c r="Q18" s="42">
        <v>0.24</v>
      </c>
      <c r="R18" s="43">
        <v>85.43</v>
      </c>
      <c r="S18" s="39">
        <v>49.48</v>
      </c>
      <c r="T18" s="39">
        <v>7.1</v>
      </c>
      <c r="U18" s="39">
        <v>37.17</v>
      </c>
      <c r="V18" s="39">
        <v>0.05</v>
      </c>
      <c r="W18" s="39">
        <v>5.2</v>
      </c>
      <c r="X18" s="39">
        <f t="shared" si="11"/>
        <v>261.3</v>
      </c>
      <c r="Y18">
        <f t="shared" si="0"/>
        <v>49.529999999999994</v>
      </c>
      <c r="Z18" s="44">
        <f t="shared" si="1"/>
        <v>211.77</v>
      </c>
      <c r="AA18" s="44"/>
      <c r="AB18" s="44">
        <f t="shared" si="12"/>
        <v>74.77</v>
      </c>
      <c r="AC18" s="44">
        <f t="shared" si="13"/>
        <v>179.23</v>
      </c>
      <c r="AD18" s="44">
        <f t="shared" si="14"/>
        <v>-104.46</v>
      </c>
      <c r="AE18" s="44">
        <f t="shared" si="15"/>
        <v>254</v>
      </c>
      <c r="AF18" s="44">
        <f t="shared" si="16"/>
        <v>-41.125984251968504</v>
      </c>
      <c r="AG18" s="45">
        <f t="shared" si="2"/>
        <v>1.673</v>
      </c>
      <c r="AH18" s="44">
        <v>2</v>
      </c>
      <c r="AI18" s="44">
        <v>40</v>
      </c>
      <c r="AJ18" s="46">
        <f t="shared" si="3"/>
        <v>0.50864197530864197</v>
      </c>
      <c r="AK18">
        <v>2</v>
      </c>
      <c r="AL18">
        <v>24.3</v>
      </c>
      <c r="AM18" s="46">
        <f t="shared" si="4"/>
        <v>1.1552173913043478</v>
      </c>
      <c r="AN18">
        <v>1</v>
      </c>
      <c r="AO18">
        <v>23</v>
      </c>
      <c r="AP18" s="46">
        <f t="shared" si="5"/>
        <v>0.21333333333333335</v>
      </c>
      <c r="AQ18">
        <v>1</v>
      </c>
      <c r="AR18">
        <v>39</v>
      </c>
      <c r="AS18" s="46">
        <f t="shared" si="6"/>
        <v>1.3938028169014083</v>
      </c>
      <c r="AT18">
        <v>1</v>
      </c>
      <c r="AU18">
        <v>35.5</v>
      </c>
      <c r="AV18" s="46">
        <f t="shared" si="7"/>
        <v>2.6329647182727757E-3</v>
      </c>
      <c r="AW18">
        <v>1</v>
      </c>
      <c r="AX18">
        <v>18.989999999999998</v>
      </c>
      <c r="AY18" s="46">
        <f t="shared" si="8"/>
        <v>0.59941944847605233</v>
      </c>
      <c r="AZ18">
        <v>1</v>
      </c>
      <c r="BA18">
        <v>62.01</v>
      </c>
      <c r="BB18" s="46">
        <f t="shared" si="9"/>
        <v>0.14791666666666667</v>
      </c>
      <c r="BC18">
        <v>2</v>
      </c>
      <c r="BD18">
        <v>96</v>
      </c>
      <c r="BE18" s="46">
        <f t="shared" si="10"/>
        <v>1.4004918032786886</v>
      </c>
      <c r="BF18">
        <v>1</v>
      </c>
      <c r="BG18">
        <v>61</v>
      </c>
      <c r="BI18" s="44">
        <f t="shared" si="17"/>
        <v>3.5501926999463227</v>
      </c>
      <c r="BJ18">
        <f t="shared" si="18"/>
        <v>3.5442637000410886</v>
      </c>
      <c r="BK18" s="44">
        <f t="shared" si="19"/>
        <v>5.9289999052341003E-3</v>
      </c>
      <c r="BL18" s="44">
        <f t="shared" si="20"/>
        <v>7.0944563999874113</v>
      </c>
      <c r="BM18">
        <f t="shared" si="21"/>
        <v>8.3572293223827844E-4</v>
      </c>
      <c r="BN18">
        <f t="shared" si="22"/>
        <v>8.3572293223827837E-2</v>
      </c>
    </row>
    <row r="23" spans="2:66" ht="21" customHeight="1" x14ac:dyDescent="0.3"/>
  </sheetData>
  <mergeCells count="3">
    <mergeCell ref="C4:C8"/>
    <mergeCell ref="C9:C13"/>
    <mergeCell ref="C14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8CD1-D87B-4515-9783-937AE1AB2BFD}">
  <dimension ref="B1:BN23"/>
  <sheetViews>
    <sheetView tabSelected="1" topLeftCell="F1" zoomScaleNormal="100" workbookViewId="0">
      <selection activeCell="L4" sqref="L4"/>
    </sheetView>
  </sheetViews>
  <sheetFormatPr defaultRowHeight="14.4" x14ac:dyDescent="0.3"/>
  <cols>
    <col min="3" max="3" width="16.33203125" bestFit="1" customWidth="1"/>
    <col min="4" max="4" width="21" bestFit="1" customWidth="1"/>
    <col min="5" max="5" width="11" bestFit="1" customWidth="1"/>
    <col min="6" max="6" width="14.88671875" customWidth="1"/>
    <col min="7" max="7" width="14.44140625" customWidth="1"/>
    <col min="9" max="9" width="20.109375" customWidth="1"/>
    <col min="10" max="10" width="16.6640625" customWidth="1"/>
    <col min="11" max="11" width="15.5546875" customWidth="1"/>
    <col min="12" max="14" width="9.5546875" customWidth="1"/>
    <col min="15" max="15" width="9" bestFit="1" customWidth="1"/>
    <col min="16" max="16" width="10.6640625" customWidth="1"/>
    <col min="17" max="17" width="10.5546875" bestFit="1" customWidth="1"/>
    <col min="18" max="18" width="15.6640625" customWidth="1"/>
    <col min="19" max="19" width="14.5546875" customWidth="1"/>
    <col min="20" max="20" width="12.88671875" customWidth="1"/>
    <col min="21" max="21" width="14.21875" customWidth="1"/>
    <col min="22" max="22" width="11" hidden="1" customWidth="1"/>
    <col min="23" max="23" width="11.77734375" hidden="1" customWidth="1"/>
    <col min="24" max="24" width="0" hidden="1" customWidth="1"/>
    <col min="25" max="25" width="11.44140625" hidden="1" customWidth="1"/>
    <col min="26" max="26" width="0" hidden="1" customWidth="1"/>
    <col min="27" max="29" width="8.88671875" hidden="1" customWidth="1"/>
    <col min="30" max="30" width="10.6640625" hidden="1" customWidth="1"/>
    <col min="31" max="31" width="21.77734375" hidden="1" customWidth="1"/>
    <col min="32" max="59" width="8.88671875" hidden="1" customWidth="1"/>
    <col min="60" max="66" width="0" hidden="1" customWidth="1"/>
  </cols>
  <sheetData>
    <row r="1" spans="2:66" x14ac:dyDescent="0.3"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</row>
    <row r="2" spans="2:66" ht="15.6" x14ac:dyDescent="0.3">
      <c r="B2" s="30" t="s">
        <v>70</v>
      </c>
      <c r="C2" s="30" t="s">
        <v>69</v>
      </c>
      <c r="D2" s="27" t="s">
        <v>68</v>
      </c>
      <c r="E2" s="29" t="s">
        <v>67</v>
      </c>
      <c r="F2" s="27" t="s">
        <v>66</v>
      </c>
      <c r="G2" s="27" t="s">
        <v>65</v>
      </c>
      <c r="H2" s="27" t="s">
        <v>64</v>
      </c>
      <c r="I2" s="27" t="s">
        <v>63</v>
      </c>
      <c r="J2" s="27" t="s">
        <v>60</v>
      </c>
      <c r="K2" s="27" t="s">
        <v>61</v>
      </c>
      <c r="L2" s="27" t="s">
        <v>57</v>
      </c>
      <c r="M2" s="27" t="s">
        <v>56</v>
      </c>
      <c r="N2" s="27" t="s">
        <v>55</v>
      </c>
      <c r="O2" s="27" t="s">
        <v>54</v>
      </c>
      <c r="P2" s="27" t="s">
        <v>58</v>
      </c>
      <c r="Q2" s="27" t="s">
        <v>49</v>
      </c>
      <c r="R2" s="27" t="s">
        <v>53</v>
      </c>
      <c r="S2" s="27" t="s">
        <v>50</v>
      </c>
      <c r="T2" s="27" t="s">
        <v>51</v>
      </c>
      <c r="U2" s="27" t="s">
        <v>52</v>
      </c>
      <c r="V2" s="27" t="s">
        <v>62</v>
      </c>
      <c r="W2" s="27" t="s">
        <v>59</v>
      </c>
      <c r="Z2" s="28"/>
      <c r="AF2" s="27" t="s">
        <v>57</v>
      </c>
      <c r="AG2" s="27"/>
      <c r="AH2" s="27"/>
      <c r="AI2" s="27" t="s">
        <v>56</v>
      </c>
      <c r="AJ2" s="27"/>
      <c r="AK2" s="27"/>
      <c r="AL2" s="27" t="s">
        <v>55</v>
      </c>
      <c r="AM2" s="27"/>
      <c r="AN2" s="27"/>
      <c r="AO2" s="27" t="s">
        <v>54</v>
      </c>
      <c r="AR2" s="27" t="s">
        <v>53</v>
      </c>
      <c r="AS2" s="27"/>
      <c r="AT2" s="27"/>
      <c r="AU2" s="27" t="s">
        <v>52</v>
      </c>
      <c r="AV2" s="27"/>
      <c r="AW2" s="27"/>
      <c r="AX2" s="27" t="s">
        <v>51</v>
      </c>
      <c r="AY2" s="27"/>
      <c r="AZ2" s="27"/>
      <c r="BA2" s="27" t="s">
        <v>50</v>
      </c>
      <c r="BB2" s="27"/>
      <c r="BC2" s="27"/>
      <c r="BD2" s="27" t="s">
        <v>49</v>
      </c>
      <c r="BH2" s="25" t="s">
        <v>3</v>
      </c>
      <c r="BI2" s="25" t="s">
        <v>1</v>
      </c>
      <c r="BJ2" s="26" t="s">
        <v>48</v>
      </c>
      <c r="BK2" s="26" t="s">
        <v>47</v>
      </c>
      <c r="BL2" s="26" t="s">
        <v>46</v>
      </c>
      <c r="BM2" s="26" t="s">
        <v>45</v>
      </c>
      <c r="BN2" s="25" t="s">
        <v>44</v>
      </c>
    </row>
    <row r="3" spans="2:66" ht="28.8" x14ac:dyDescent="0.3">
      <c r="B3" s="24"/>
      <c r="C3" s="24"/>
      <c r="D3" s="22"/>
      <c r="E3" s="23"/>
      <c r="F3" s="22"/>
      <c r="G3" s="22"/>
      <c r="H3" s="22"/>
      <c r="I3" s="21" t="s">
        <v>43</v>
      </c>
      <c r="J3" s="21" t="s">
        <v>42</v>
      </c>
      <c r="K3" s="21" t="s">
        <v>42</v>
      </c>
      <c r="L3" s="20" t="s">
        <v>41</v>
      </c>
      <c r="M3" s="20" t="s">
        <v>41</v>
      </c>
      <c r="N3" s="20" t="s">
        <v>41</v>
      </c>
      <c r="O3" s="20" t="s">
        <v>41</v>
      </c>
      <c r="P3" s="20" t="s">
        <v>41</v>
      </c>
      <c r="Q3" s="20" t="s">
        <v>41</v>
      </c>
      <c r="R3" s="21" t="s">
        <v>41</v>
      </c>
      <c r="S3" s="20" t="s">
        <v>41</v>
      </c>
      <c r="T3" s="21" t="s">
        <v>41</v>
      </c>
      <c r="U3" s="21" t="s">
        <v>41</v>
      </c>
      <c r="V3" s="21" t="s">
        <v>42</v>
      </c>
      <c r="W3" s="21" t="s">
        <v>42</v>
      </c>
      <c r="X3" s="19" t="s">
        <v>40</v>
      </c>
      <c r="Y3" s="19" t="s">
        <v>39</v>
      </c>
      <c r="Z3" s="19"/>
      <c r="AA3" s="18"/>
      <c r="AB3" s="18"/>
      <c r="AC3" s="17"/>
      <c r="AD3" s="17"/>
      <c r="AE3" s="16"/>
      <c r="AF3" s="1"/>
      <c r="AG3" s="1" t="s">
        <v>38</v>
      </c>
      <c r="AH3" s="15" t="s">
        <v>37</v>
      </c>
      <c r="AI3" s="1"/>
      <c r="AJ3" s="1" t="s">
        <v>38</v>
      </c>
      <c r="AK3" s="15" t="s">
        <v>37</v>
      </c>
      <c r="AL3" s="1"/>
      <c r="AM3" s="1" t="s">
        <v>38</v>
      </c>
      <c r="AN3" s="15" t="s">
        <v>37</v>
      </c>
      <c r="AO3" s="1"/>
      <c r="AP3" s="1" t="s">
        <v>38</v>
      </c>
      <c r="AQ3" s="15" t="s">
        <v>37</v>
      </c>
      <c r="AR3" s="1"/>
      <c r="AS3" s="1" t="s">
        <v>38</v>
      </c>
      <c r="AT3" s="15" t="s">
        <v>37</v>
      </c>
      <c r="AU3" s="1"/>
      <c r="AV3" s="1" t="s">
        <v>38</v>
      </c>
      <c r="AW3" s="15" t="s">
        <v>37</v>
      </c>
      <c r="AX3" s="1"/>
      <c r="AY3" s="1" t="s">
        <v>38</v>
      </c>
      <c r="AZ3" s="15" t="s">
        <v>37</v>
      </c>
      <c r="BA3" s="1"/>
      <c r="BB3" s="1" t="s">
        <v>38</v>
      </c>
      <c r="BC3" s="15" t="s">
        <v>37</v>
      </c>
      <c r="BD3" s="1"/>
      <c r="BE3" s="1" t="s">
        <v>38</v>
      </c>
      <c r="BF3" s="15" t="s">
        <v>37</v>
      </c>
      <c r="BG3" s="1"/>
      <c r="BH3" s="1"/>
      <c r="BI3" s="1"/>
      <c r="BJ3" s="1"/>
      <c r="BK3" s="1"/>
      <c r="BL3" s="1"/>
      <c r="BM3" s="1"/>
      <c r="BN3" s="1"/>
    </row>
    <row r="4" spans="2:66" x14ac:dyDescent="0.3">
      <c r="B4" s="8">
        <v>1</v>
      </c>
      <c r="C4" s="56" t="s">
        <v>36</v>
      </c>
      <c r="D4" s="10" t="s">
        <v>35</v>
      </c>
      <c r="E4" s="14" t="s">
        <v>34</v>
      </c>
      <c r="F4" s="8">
        <v>20.303531</v>
      </c>
      <c r="G4" s="8">
        <v>85.826217</v>
      </c>
      <c r="H4" s="9">
        <v>5.85</v>
      </c>
      <c r="I4" s="9">
        <v>668.92</v>
      </c>
      <c r="J4" s="8">
        <v>69</v>
      </c>
      <c r="K4" s="8">
        <v>111</v>
      </c>
      <c r="L4" s="6">
        <v>40.39</v>
      </c>
      <c r="M4" s="6">
        <v>9.81</v>
      </c>
      <c r="N4" s="6">
        <v>80.31</v>
      </c>
      <c r="O4" s="6">
        <v>12.15</v>
      </c>
      <c r="P4" s="7">
        <v>0.1</v>
      </c>
      <c r="Q4" s="5">
        <v>146.69999999999999</v>
      </c>
      <c r="R4" s="8">
        <v>60.87</v>
      </c>
      <c r="S4" s="8">
        <v>28.92</v>
      </c>
      <c r="T4" s="8">
        <v>38.380000000000003</v>
      </c>
      <c r="U4" s="8">
        <v>0.2</v>
      </c>
      <c r="V4" s="8">
        <v>7.27</v>
      </c>
      <c r="W4" s="9">
        <f>I4*0.64</f>
        <v>428.10879999999997</v>
      </c>
      <c r="X4" s="1">
        <f t="shared" ref="X4:X18" si="0">SUM(U4:U4)+R4</f>
        <v>61.07</v>
      </c>
      <c r="Y4" s="2">
        <f t="shared" ref="Y4:Y18" si="1">W4-X4</f>
        <v>367.03879999999998</v>
      </c>
      <c r="Z4" s="2"/>
      <c r="AA4" s="2"/>
      <c r="AB4" s="2"/>
      <c r="AC4" s="2"/>
      <c r="AD4" s="2"/>
      <c r="AE4" s="2"/>
      <c r="AF4" s="4">
        <f t="shared" ref="AF4:AF18" si="2">(L4*AG4)/AH4</f>
        <v>2.0194999999999999</v>
      </c>
      <c r="AG4" s="2">
        <v>2</v>
      </c>
      <c r="AH4" s="2">
        <v>40</v>
      </c>
      <c r="AI4" s="3">
        <f t="shared" ref="AI4:AI18" si="3">(M4*AJ4)/AK4</f>
        <v>0.80740740740740746</v>
      </c>
      <c r="AJ4" s="1">
        <v>2</v>
      </c>
      <c r="AK4" s="1">
        <v>24.3</v>
      </c>
      <c r="AL4" s="3">
        <f t="shared" ref="AL4:AL18" si="4">N4*AM4/AN4</f>
        <v>3.4917391304347829</v>
      </c>
      <c r="AM4" s="1">
        <v>1</v>
      </c>
      <c r="AN4" s="1">
        <v>23</v>
      </c>
      <c r="AO4" s="3">
        <f t="shared" ref="AO4:AO18" si="5">O4*AP4/AQ4</f>
        <v>0.31153846153846154</v>
      </c>
      <c r="AP4" s="1">
        <v>1</v>
      </c>
      <c r="AQ4" s="1">
        <v>39</v>
      </c>
      <c r="AR4" s="3">
        <f t="shared" ref="AR4:AR18" si="6">R4*AS4/AT4</f>
        <v>1.7146478873239437</v>
      </c>
      <c r="AS4" s="1">
        <v>1</v>
      </c>
      <c r="AT4" s="1">
        <v>35.5</v>
      </c>
      <c r="AU4" s="3">
        <f t="shared" ref="AU4:AU18" si="7">U4*AV4/AW4</f>
        <v>1.0531858873091103E-2</v>
      </c>
      <c r="AV4" s="1">
        <v>1</v>
      </c>
      <c r="AW4" s="1">
        <v>18.989999999999998</v>
      </c>
      <c r="AX4" s="3">
        <f t="shared" ref="AX4:AX18" si="8">T4*AY4/AZ4</f>
        <v>0.61893243025318501</v>
      </c>
      <c r="AY4" s="1">
        <v>1</v>
      </c>
      <c r="AZ4" s="1">
        <v>62.01</v>
      </c>
      <c r="BA4" s="3">
        <f t="shared" ref="BA4:BA18" si="9">S4*BB4/BC4</f>
        <v>0.60250000000000004</v>
      </c>
      <c r="BB4" s="1">
        <v>2</v>
      </c>
      <c r="BC4" s="1">
        <v>96</v>
      </c>
      <c r="BD4" s="3">
        <f t="shared" ref="BD4:BD18" si="10">Q4*BE4/BF4</f>
        <v>2.4049180327868851</v>
      </c>
      <c r="BE4" s="1">
        <v>1</v>
      </c>
      <c r="BF4" s="1">
        <v>61</v>
      </c>
      <c r="BG4" s="1"/>
      <c r="BH4" s="2">
        <f t="shared" ref="BH4:BH18" si="11">AF4+AI4+AL4+AO4</f>
        <v>6.630184999380651</v>
      </c>
      <c r="BI4" s="1">
        <f t="shared" ref="BI4:BI18" si="12">AR4+AU4+AX4+BA4+BD4</f>
        <v>5.3515302092371044</v>
      </c>
      <c r="BJ4" s="2">
        <f t="shared" ref="BJ4:BJ18" si="13">BH4-BI4</f>
        <v>1.2786547901435465</v>
      </c>
      <c r="BK4" s="2">
        <f t="shared" ref="BK4:BK18" si="14">BH4+BI4</f>
        <v>11.981715208617755</v>
      </c>
      <c r="BL4" s="1">
        <f t="shared" ref="BL4:BL18" si="15">BJ4/BK4</f>
        <v>0.10671717428435322</v>
      </c>
      <c r="BM4" s="1">
        <f t="shared" ref="BM4:BM18" si="16">BL4*100</f>
        <v>10.671717428435322</v>
      </c>
      <c r="BN4" s="1">
        <f t="shared" ref="BN4:BN18" si="17">AL4/AR4</f>
        <v>2.0364175970171643</v>
      </c>
    </row>
    <row r="5" spans="2:66" s="13" customFormat="1" x14ac:dyDescent="0.3">
      <c r="B5" s="8">
        <v>2</v>
      </c>
      <c r="C5" s="56"/>
      <c r="D5" s="10" t="s">
        <v>33</v>
      </c>
      <c r="E5" s="12" t="s">
        <v>32</v>
      </c>
      <c r="F5" s="8">
        <v>20.278196999999999</v>
      </c>
      <c r="G5" s="8">
        <v>85.840283999999997</v>
      </c>
      <c r="H5" s="9">
        <v>6.74</v>
      </c>
      <c r="I5" s="9">
        <v>569.52</v>
      </c>
      <c r="J5" s="8">
        <v>97</v>
      </c>
      <c r="K5" s="8">
        <v>74</v>
      </c>
      <c r="L5" s="6">
        <v>34.159999999999997</v>
      </c>
      <c r="M5" s="6">
        <v>11.28</v>
      </c>
      <c r="N5" s="6">
        <v>50.78</v>
      </c>
      <c r="O5" s="6">
        <v>18.75</v>
      </c>
      <c r="P5" s="7">
        <v>0.38</v>
      </c>
      <c r="Q5" s="5">
        <v>181.42</v>
      </c>
      <c r="R5" s="8">
        <v>43.15</v>
      </c>
      <c r="S5" s="8">
        <v>11.07</v>
      </c>
      <c r="T5" s="8">
        <v>3.5</v>
      </c>
      <c r="U5" s="8">
        <v>0.08</v>
      </c>
      <c r="V5" s="8">
        <v>6.47</v>
      </c>
      <c r="W5" s="9">
        <f t="shared" ref="W5:W18" si="18">I5*0.65</f>
        <v>370.18799999999999</v>
      </c>
      <c r="X5" s="1">
        <f t="shared" si="0"/>
        <v>43.23</v>
      </c>
      <c r="Y5" s="2">
        <f t="shared" si="1"/>
        <v>326.95799999999997</v>
      </c>
      <c r="Z5" s="2"/>
      <c r="AA5" s="2">
        <f t="shared" ref="AA5:AA18" si="19">O5+N5+M5+L5+P5</f>
        <v>115.35</v>
      </c>
      <c r="AB5" s="2">
        <f t="shared" ref="AB5:AB18" si="20">Q5+S5+T5+U5+R5</f>
        <v>239.22</v>
      </c>
      <c r="AC5" s="2">
        <f t="shared" ref="AC5:AC18" si="21">AA5-AB5</f>
        <v>-123.87</v>
      </c>
      <c r="AD5" s="2">
        <f t="shared" ref="AD5:AD18" si="22">AA5+AB5</f>
        <v>354.57</v>
      </c>
      <c r="AE5" s="2">
        <f t="shared" ref="AE5:AE18" si="23">(AC5/AD5)*100</f>
        <v>-34.935273711819953</v>
      </c>
      <c r="AF5" s="4">
        <f t="shared" si="2"/>
        <v>1.7079999999999997</v>
      </c>
      <c r="AG5" s="2">
        <v>2</v>
      </c>
      <c r="AH5" s="2">
        <v>40</v>
      </c>
      <c r="AI5" s="3">
        <f t="shared" si="3"/>
        <v>0.92839506172839503</v>
      </c>
      <c r="AJ5" s="1">
        <v>2</v>
      </c>
      <c r="AK5" s="1">
        <v>24.3</v>
      </c>
      <c r="AL5" s="3">
        <f t="shared" si="4"/>
        <v>2.2078260869565218</v>
      </c>
      <c r="AM5" s="1">
        <v>1</v>
      </c>
      <c r="AN5" s="1">
        <v>23</v>
      </c>
      <c r="AO5" s="3">
        <f t="shared" si="5"/>
        <v>0.48076923076923078</v>
      </c>
      <c r="AP5" s="1">
        <v>1</v>
      </c>
      <c r="AQ5" s="1">
        <v>39</v>
      </c>
      <c r="AR5" s="3">
        <f t="shared" si="6"/>
        <v>1.2154929577464788</v>
      </c>
      <c r="AS5" s="1">
        <v>1</v>
      </c>
      <c r="AT5" s="1">
        <v>35.5</v>
      </c>
      <c r="AU5" s="3">
        <f t="shared" si="7"/>
        <v>4.2127435492364407E-3</v>
      </c>
      <c r="AV5" s="1">
        <v>1</v>
      </c>
      <c r="AW5" s="1">
        <v>18.989999999999998</v>
      </c>
      <c r="AX5" s="3">
        <f t="shared" si="8"/>
        <v>5.6442509272697956E-2</v>
      </c>
      <c r="AY5" s="1">
        <v>1</v>
      </c>
      <c r="AZ5" s="1">
        <v>62.01</v>
      </c>
      <c r="BA5" s="3">
        <f t="shared" si="9"/>
        <v>0.230625</v>
      </c>
      <c r="BB5" s="1">
        <v>2</v>
      </c>
      <c r="BC5" s="1">
        <v>96</v>
      </c>
      <c r="BD5" s="3">
        <f t="shared" si="10"/>
        <v>2.9740983606557374</v>
      </c>
      <c r="BE5" s="1">
        <v>1</v>
      </c>
      <c r="BF5" s="1">
        <v>61</v>
      </c>
      <c r="BG5" s="1"/>
      <c r="BH5" s="2">
        <f t="shared" si="11"/>
        <v>5.3249903794541469</v>
      </c>
      <c r="BI5" s="1">
        <f t="shared" si="12"/>
        <v>4.4808715712241511</v>
      </c>
      <c r="BJ5" s="2">
        <f t="shared" si="13"/>
        <v>0.84411880822999574</v>
      </c>
      <c r="BK5" s="2">
        <f t="shared" si="14"/>
        <v>9.8058619506782989</v>
      </c>
      <c r="BL5" s="1">
        <f t="shared" si="15"/>
        <v>8.6083080964810613E-2</v>
      </c>
      <c r="BM5" s="1">
        <f t="shared" si="16"/>
        <v>8.6083080964810605</v>
      </c>
      <c r="BN5" s="1">
        <f t="shared" si="17"/>
        <v>1.8164038490604062</v>
      </c>
    </row>
    <row r="6" spans="2:66" x14ac:dyDescent="0.3">
      <c r="B6" s="8">
        <v>3</v>
      </c>
      <c r="C6" s="56"/>
      <c r="D6" s="10" t="s">
        <v>31</v>
      </c>
      <c r="E6" s="12" t="s">
        <v>30</v>
      </c>
      <c r="F6" s="8">
        <v>20.337294</v>
      </c>
      <c r="G6" s="8">
        <v>85.810480999999996</v>
      </c>
      <c r="H6" s="9">
        <v>6.04</v>
      </c>
      <c r="I6" s="9">
        <v>616.86</v>
      </c>
      <c r="J6" s="8">
        <v>34</v>
      </c>
      <c r="K6" s="8">
        <v>249</v>
      </c>
      <c r="L6" s="6">
        <v>68.89</v>
      </c>
      <c r="M6" s="6">
        <v>8.4499999999999993</v>
      </c>
      <c r="N6" s="6">
        <v>30.06</v>
      </c>
      <c r="O6" s="6">
        <v>6.56</v>
      </c>
      <c r="P6" s="7">
        <v>0.28999999999999998</v>
      </c>
      <c r="Q6" s="5">
        <v>56.69</v>
      </c>
      <c r="R6" s="8">
        <v>152.59</v>
      </c>
      <c r="S6" s="8">
        <v>30.38</v>
      </c>
      <c r="T6" s="8">
        <v>36.75</v>
      </c>
      <c r="U6" s="8">
        <v>0.06</v>
      </c>
      <c r="V6" s="8">
        <v>4.49</v>
      </c>
      <c r="W6" s="9">
        <f t="shared" si="18"/>
        <v>400.959</v>
      </c>
      <c r="X6" s="1">
        <f t="shared" si="0"/>
        <v>152.65</v>
      </c>
      <c r="Y6" s="2">
        <f t="shared" si="1"/>
        <v>248.309</v>
      </c>
      <c r="Z6" s="2"/>
      <c r="AA6" s="2">
        <f t="shared" si="19"/>
        <v>114.25</v>
      </c>
      <c r="AB6" s="2">
        <f t="shared" si="20"/>
        <v>276.47000000000003</v>
      </c>
      <c r="AC6" s="2">
        <f t="shared" si="21"/>
        <v>-162.22000000000003</v>
      </c>
      <c r="AD6" s="2">
        <f t="shared" si="22"/>
        <v>390.72</v>
      </c>
      <c r="AE6" s="2">
        <f t="shared" si="23"/>
        <v>-41.51822276822277</v>
      </c>
      <c r="AF6" s="4">
        <f t="shared" si="2"/>
        <v>3.4445000000000001</v>
      </c>
      <c r="AG6" s="2">
        <v>2</v>
      </c>
      <c r="AH6" s="2">
        <v>40</v>
      </c>
      <c r="AI6" s="3">
        <f t="shared" si="3"/>
        <v>0.69547325102880653</v>
      </c>
      <c r="AJ6" s="1">
        <v>2</v>
      </c>
      <c r="AK6" s="1">
        <v>24.3</v>
      </c>
      <c r="AL6" s="3">
        <f t="shared" si="4"/>
        <v>1.3069565217391304</v>
      </c>
      <c r="AM6" s="1">
        <v>1</v>
      </c>
      <c r="AN6" s="1">
        <v>23</v>
      </c>
      <c r="AO6" s="3">
        <f t="shared" si="5"/>
        <v>0.1682051282051282</v>
      </c>
      <c r="AP6" s="1">
        <v>1</v>
      </c>
      <c r="AQ6" s="1">
        <v>39</v>
      </c>
      <c r="AR6" s="3">
        <f t="shared" si="6"/>
        <v>4.29830985915493</v>
      </c>
      <c r="AS6" s="1">
        <v>1</v>
      </c>
      <c r="AT6" s="1">
        <v>35.5</v>
      </c>
      <c r="AU6" s="3">
        <f t="shared" si="7"/>
        <v>3.1595576619273301E-3</v>
      </c>
      <c r="AV6" s="1">
        <v>1</v>
      </c>
      <c r="AW6" s="1">
        <v>18.989999999999998</v>
      </c>
      <c r="AX6" s="3">
        <f t="shared" si="8"/>
        <v>0.59264634736332855</v>
      </c>
      <c r="AY6" s="1">
        <v>1</v>
      </c>
      <c r="AZ6" s="1">
        <v>62.01</v>
      </c>
      <c r="BA6" s="3">
        <f t="shared" si="9"/>
        <v>0.63291666666666668</v>
      </c>
      <c r="BB6" s="1">
        <v>2</v>
      </c>
      <c r="BC6" s="1">
        <v>96</v>
      </c>
      <c r="BD6" s="3">
        <f t="shared" si="10"/>
        <v>0.92934426229508194</v>
      </c>
      <c r="BE6" s="1">
        <v>1</v>
      </c>
      <c r="BF6" s="1">
        <v>61</v>
      </c>
      <c r="BG6" s="1"/>
      <c r="BH6" s="2">
        <f t="shared" si="11"/>
        <v>5.6151349009730653</v>
      </c>
      <c r="BI6" s="1">
        <f t="shared" si="12"/>
        <v>6.4563766931419346</v>
      </c>
      <c r="BJ6" s="2">
        <f t="shared" si="13"/>
        <v>-0.8412417921688693</v>
      </c>
      <c r="BK6" s="2">
        <f t="shared" si="14"/>
        <v>12.071511594115</v>
      </c>
      <c r="BL6" s="1">
        <f t="shared" si="15"/>
        <v>-6.9688189884934068E-2</v>
      </c>
      <c r="BM6" s="1">
        <f t="shared" si="16"/>
        <v>-6.9688189884934069</v>
      </c>
      <c r="BN6" s="1">
        <f t="shared" si="17"/>
        <v>0.30406289089546579</v>
      </c>
    </row>
    <row r="7" spans="2:66" s="13" customFormat="1" x14ac:dyDescent="0.3">
      <c r="B7" s="8">
        <v>4</v>
      </c>
      <c r="C7" s="56"/>
      <c r="D7" s="10" t="s">
        <v>29</v>
      </c>
      <c r="E7" s="14" t="s">
        <v>28</v>
      </c>
      <c r="F7" s="8">
        <v>20.323146999999999</v>
      </c>
      <c r="G7" s="8">
        <v>85.823089999999993</v>
      </c>
      <c r="H7" s="9">
        <v>5.75</v>
      </c>
      <c r="I7" s="9">
        <v>594.37</v>
      </c>
      <c r="J7" s="8">
        <v>117</v>
      </c>
      <c r="K7" s="8">
        <v>111</v>
      </c>
      <c r="L7" s="6">
        <v>49.61</v>
      </c>
      <c r="M7" s="6">
        <v>6.4</v>
      </c>
      <c r="N7" s="6">
        <v>43.98</v>
      </c>
      <c r="O7" s="6">
        <v>7.23</v>
      </c>
      <c r="P7" s="7">
        <v>0.18</v>
      </c>
      <c r="Q7" s="5">
        <v>167</v>
      </c>
      <c r="R7" s="8">
        <v>55.99</v>
      </c>
      <c r="S7" s="8">
        <v>7.1</v>
      </c>
      <c r="T7" s="8">
        <v>11.23</v>
      </c>
      <c r="U7" s="8">
        <v>0.03</v>
      </c>
      <c r="V7" s="8">
        <v>6.39</v>
      </c>
      <c r="W7" s="9">
        <f t="shared" si="18"/>
        <v>386.34050000000002</v>
      </c>
      <c r="X7" s="1">
        <f t="shared" si="0"/>
        <v>56.02</v>
      </c>
      <c r="Y7" s="2">
        <f t="shared" si="1"/>
        <v>330.32050000000004</v>
      </c>
      <c r="Z7" s="2"/>
      <c r="AA7" s="2">
        <f t="shared" si="19"/>
        <v>107.4</v>
      </c>
      <c r="AB7" s="2">
        <f t="shared" si="20"/>
        <v>241.35</v>
      </c>
      <c r="AC7" s="2">
        <f t="shared" si="21"/>
        <v>-133.94999999999999</v>
      </c>
      <c r="AD7" s="2">
        <f t="shared" si="22"/>
        <v>348.75</v>
      </c>
      <c r="AE7" s="2">
        <f t="shared" si="23"/>
        <v>-38.408602150537632</v>
      </c>
      <c r="AF7" s="4">
        <f t="shared" si="2"/>
        <v>2.4805000000000001</v>
      </c>
      <c r="AG7" s="2">
        <v>2</v>
      </c>
      <c r="AH7" s="2">
        <v>40</v>
      </c>
      <c r="AI7" s="3">
        <f t="shared" si="3"/>
        <v>0.52674897119341568</v>
      </c>
      <c r="AJ7" s="1">
        <v>2</v>
      </c>
      <c r="AK7" s="1">
        <v>24.3</v>
      </c>
      <c r="AL7" s="3">
        <f t="shared" si="4"/>
        <v>1.9121739130434781</v>
      </c>
      <c r="AM7" s="1">
        <v>1</v>
      </c>
      <c r="AN7" s="1">
        <v>23</v>
      </c>
      <c r="AO7" s="3">
        <f t="shared" si="5"/>
        <v>0.1853846153846154</v>
      </c>
      <c r="AP7" s="1">
        <v>1</v>
      </c>
      <c r="AQ7" s="1">
        <v>39</v>
      </c>
      <c r="AR7" s="3">
        <f t="shared" si="6"/>
        <v>1.5771830985915494</v>
      </c>
      <c r="AS7" s="1">
        <v>1</v>
      </c>
      <c r="AT7" s="1">
        <v>35.5</v>
      </c>
      <c r="AU7" s="3">
        <f t="shared" si="7"/>
        <v>1.5797788309636651E-3</v>
      </c>
      <c r="AV7" s="1">
        <v>1</v>
      </c>
      <c r="AW7" s="1">
        <v>18.989999999999998</v>
      </c>
      <c r="AX7" s="3">
        <f t="shared" si="8"/>
        <v>0.18109982260925658</v>
      </c>
      <c r="AY7" s="1">
        <v>1</v>
      </c>
      <c r="AZ7" s="1">
        <v>62.01</v>
      </c>
      <c r="BA7" s="3">
        <f t="shared" si="9"/>
        <v>0.14791666666666667</v>
      </c>
      <c r="BB7" s="1">
        <v>2</v>
      </c>
      <c r="BC7" s="1">
        <v>96</v>
      </c>
      <c r="BD7" s="3">
        <f t="shared" si="10"/>
        <v>2.737704918032787</v>
      </c>
      <c r="BE7" s="1">
        <v>1</v>
      </c>
      <c r="BF7" s="1">
        <v>61</v>
      </c>
      <c r="BG7" s="1"/>
      <c r="BH7" s="2">
        <f t="shared" si="11"/>
        <v>5.1048074996215096</v>
      </c>
      <c r="BI7" s="1">
        <f t="shared" si="12"/>
        <v>4.6454842847312232</v>
      </c>
      <c r="BJ7" s="2">
        <f t="shared" si="13"/>
        <v>0.45932321489028638</v>
      </c>
      <c r="BK7" s="2">
        <f t="shared" si="14"/>
        <v>9.7502917843527328</v>
      </c>
      <c r="BL7" s="1">
        <f t="shared" si="15"/>
        <v>4.7108663519937755E-2</v>
      </c>
      <c r="BM7" s="1">
        <f t="shared" si="16"/>
        <v>4.7108663519937757</v>
      </c>
      <c r="BN7" s="1">
        <f t="shared" si="17"/>
        <v>1.2123981766930427</v>
      </c>
    </row>
    <row r="8" spans="2:66" s="11" customFormat="1" x14ac:dyDescent="0.3">
      <c r="B8" s="8">
        <v>5</v>
      </c>
      <c r="C8" s="56"/>
      <c r="D8" s="10" t="s">
        <v>27</v>
      </c>
      <c r="E8" s="12" t="s">
        <v>26</v>
      </c>
      <c r="F8" s="8">
        <v>20.228014999999999</v>
      </c>
      <c r="G8" s="8">
        <v>85.833273000000005</v>
      </c>
      <c r="H8" s="9">
        <v>6.87</v>
      </c>
      <c r="I8" s="9">
        <v>626.89</v>
      </c>
      <c r="J8" s="8">
        <v>34</v>
      </c>
      <c r="K8" s="8">
        <v>259</v>
      </c>
      <c r="L8" s="6">
        <v>53.47</v>
      </c>
      <c r="M8" s="6">
        <v>14.07</v>
      </c>
      <c r="N8" s="6">
        <v>25.75</v>
      </c>
      <c r="O8" s="6">
        <v>19.47</v>
      </c>
      <c r="P8" s="7">
        <v>0.26</v>
      </c>
      <c r="Q8" s="5">
        <v>170.22</v>
      </c>
      <c r="R8" s="8">
        <v>48.45</v>
      </c>
      <c r="S8" s="8">
        <v>17.93</v>
      </c>
      <c r="T8" s="8">
        <v>27.03</v>
      </c>
      <c r="U8" s="8">
        <v>0.2</v>
      </c>
      <c r="V8" s="8">
        <v>4.75</v>
      </c>
      <c r="W8" s="9">
        <f t="shared" si="18"/>
        <v>407.4785</v>
      </c>
      <c r="X8" s="1">
        <f t="shared" si="0"/>
        <v>48.650000000000006</v>
      </c>
      <c r="Y8" s="2">
        <f t="shared" si="1"/>
        <v>358.82849999999996</v>
      </c>
      <c r="Z8" s="2"/>
      <c r="AA8" s="2">
        <f t="shared" si="19"/>
        <v>113.02</v>
      </c>
      <c r="AB8" s="2">
        <f t="shared" si="20"/>
        <v>263.83</v>
      </c>
      <c r="AC8" s="2">
        <f t="shared" si="21"/>
        <v>-150.81</v>
      </c>
      <c r="AD8" s="2">
        <f t="shared" si="22"/>
        <v>376.84999999999997</v>
      </c>
      <c r="AE8" s="2">
        <f t="shared" si="23"/>
        <v>-40.018575029852734</v>
      </c>
      <c r="AF8" s="4">
        <f t="shared" si="2"/>
        <v>2.6734999999999998</v>
      </c>
      <c r="AG8" s="2">
        <v>2</v>
      </c>
      <c r="AH8" s="2">
        <v>40</v>
      </c>
      <c r="AI8" s="3">
        <f t="shared" si="3"/>
        <v>1.1580246913580248</v>
      </c>
      <c r="AJ8" s="1">
        <v>2</v>
      </c>
      <c r="AK8" s="1">
        <v>24.3</v>
      </c>
      <c r="AL8" s="3">
        <f t="shared" si="4"/>
        <v>1.1195652173913044</v>
      </c>
      <c r="AM8" s="1">
        <v>1</v>
      </c>
      <c r="AN8" s="1">
        <v>23</v>
      </c>
      <c r="AO8" s="3">
        <f t="shared" si="5"/>
        <v>0.4992307692307692</v>
      </c>
      <c r="AP8" s="1">
        <v>1</v>
      </c>
      <c r="AQ8" s="1">
        <v>39</v>
      </c>
      <c r="AR8" s="3">
        <f t="shared" si="6"/>
        <v>1.3647887323943664</v>
      </c>
      <c r="AS8" s="1">
        <v>1</v>
      </c>
      <c r="AT8" s="1">
        <v>35.5</v>
      </c>
      <c r="AU8" s="3">
        <f t="shared" si="7"/>
        <v>1.0531858873091103E-2</v>
      </c>
      <c r="AV8" s="1">
        <v>1</v>
      </c>
      <c r="AW8" s="1">
        <v>18.989999999999998</v>
      </c>
      <c r="AX8" s="3">
        <f t="shared" si="8"/>
        <v>0.4358974358974359</v>
      </c>
      <c r="AY8" s="1">
        <v>1</v>
      </c>
      <c r="AZ8" s="1">
        <v>62.01</v>
      </c>
      <c r="BA8" s="3">
        <f t="shared" si="9"/>
        <v>0.37354166666666666</v>
      </c>
      <c r="BB8" s="1">
        <v>2</v>
      </c>
      <c r="BC8" s="1">
        <v>96</v>
      </c>
      <c r="BD8" s="3">
        <f t="shared" si="10"/>
        <v>2.7904918032786883</v>
      </c>
      <c r="BE8" s="1">
        <v>1</v>
      </c>
      <c r="BF8" s="1">
        <v>61</v>
      </c>
      <c r="BG8" s="1"/>
      <c r="BH8" s="2">
        <f t="shared" si="11"/>
        <v>5.4503206779800983</v>
      </c>
      <c r="BI8" s="1">
        <f t="shared" si="12"/>
        <v>4.9752514971102482</v>
      </c>
      <c r="BJ8" s="2">
        <f t="shared" si="13"/>
        <v>0.47506918086985017</v>
      </c>
      <c r="BK8" s="2">
        <f t="shared" si="14"/>
        <v>10.425572175090347</v>
      </c>
      <c r="BL8" s="1">
        <f t="shared" si="15"/>
        <v>4.5567684237506442E-2</v>
      </c>
      <c r="BM8" s="1">
        <f t="shared" si="16"/>
        <v>4.5567684237506443</v>
      </c>
      <c r="BN8" s="1">
        <f t="shared" si="17"/>
        <v>0.82032126351684831</v>
      </c>
    </row>
    <row r="9" spans="2:66" ht="26.4" x14ac:dyDescent="0.3">
      <c r="B9" s="8">
        <v>6</v>
      </c>
      <c r="C9" s="56" t="s">
        <v>25</v>
      </c>
      <c r="D9" s="10" t="s">
        <v>24</v>
      </c>
      <c r="E9" s="8" t="s">
        <v>23</v>
      </c>
      <c r="F9" s="8">
        <v>20.305157999999999</v>
      </c>
      <c r="G9" s="8">
        <v>85.857224000000002</v>
      </c>
      <c r="H9" s="9">
        <v>5.55</v>
      </c>
      <c r="I9" s="9">
        <v>710</v>
      </c>
      <c r="J9" s="8">
        <v>33</v>
      </c>
      <c r="K9" s="8">
        <v>167</v>
      </c>
      <c r="L9" s="6">
        <v>52.25</v>
      </c>
      <c r="M9" s="6">
        <v>8.6300000000000008</v>
      </c>
      <c r="N9" s="6">
        <v>76.16</v>
      </c>
      <c r="O9" s="6">
        <v>15.16</v>
      </c>
      <c r="P9" s="7">
        <v>0.12</v>
      </c>
      <c r="Q9" s="5">
        <v>73.489999999999995</v>
      </c>
      <c r="R9" s="8">
        <v>107.14</v>
      </c>
      <c r="S9" s="8">
        <v>19.22</v>
      </c>
      <c r="T9" s="8">
        <v>95.15</v>
      </c>
      <c r="U9" s="8">
        <v>0.09</v>
      </c>
      <c r="V9" s="8">
        <v>2.89</v>
      </c>
      <c r="W9" s="9">
        <f t="shared" si="18"/>
        <v>461.5</v>
      </c>
      <c r="X9" s="1">
        <f t="shared" si="0"/>
        <v>107.23</v>
      </c>
      <c r="Y9" s="2">
        <f t="shared" si="1"/>
        <v>354.27</v>
      </c>
      <c r="Z9" s="2"/>
      <c r="AA9" s="2">
        <f t="shared" si="19"/>
        <v>152.32</v>
      </c>
      <c r="AB9" s="2">
        <f t="shared" si="20"/>
        <v>295.09000000000003</v>
      </c>
      <c r="AC9" s="2">
        <f t="shared" si="21"/>
        <v>-142.77000000000004</v>
      </c>
      <c r="AD9" s="2">
        <f t="shared" si="22"/>
        <v>447.41</v>
      </c>
      <c r="AE9" s="2">
        <f t="shared" si="23"/>
        <v>-31.910328334190126</v>
      </c>
      <c r="AF9" s="4">
        <f t="shared" si="2"/>
        <v>2.6124999999999998</v>
      </c>
      <c r="AG9" s="2">
        <v>2</v>
      </c>
      <c r="AH9" s="2">
        <v>40</v>
      </c>
      <c r="AI9" s="3">
        <f t="shared" si="3"/>
        <v>0.71028806584362147</v>
      </c>
      <c r="AJ9" s="1">
        <v>2</v>
      </c>
      <c r="AK9" s="1">
        <v>24.3</v>
      </c>
      <c r="AL9" s="3">
        <f t="shared" si="4"/>
        <v>3.3113043478260868</v>
      </c>
      <c r="AM9" s="1">
        <v>1</v>
      </c>
      <c r="AN9" s="1">
        <v>23</v>
      </c>
      <c r="AO9" s="3">
        <f t="shared" si="5"/>
        <v>0.38871794871794874</v>
      </c>
      <c r="AP9" s="1">
        <v>1</v>
      </c>
      <c r="AQ9" s="1">
        <v>39</v>
      </c>
      <c r="AR9" s="3">
        <f t="shared" si="6"/>
        <v>3.0180281690140847</v>
      </c>
      <c r="AS9" s="1">
        <v>1</v>
      </c>
      <c r="AT9" s="1">
        <v>35.5</v>
      </c>
      <c r="AU9" s="3">
        <f t="shared" si="7"/>
        <v>4.7393364928909956E-3</v>
      </c>
      <c r="AV9" s="1">
        <v>1</v>
      </c>
      <c r="AW9" s="1">
        <v>18.989999999999998</v>
      </c>
      <c r="AX9" s="3">
        <f t="shared" si="8"/>
        <v>1.5344299306563458</v>
      </c>
      <c r="AY9" s="1">
        <v>1</v>
      </c>
      <c r="AZ9" s="1">
        <v>62.01</v>
      </c>
      <c r="BA9" s="3">
        <f t="shared" si="9"/>
        <v>0.40041666666666664</v>
      </c>
      <c r="BB9" s="1">
        <v>2</v>
      </c>
      <c r="BC9" s="1">
        <v>96</v>
      </c>
      <c r="BD9" s="3">
        <f t="shared" si="10"/>
        <v>1.2047540983606557</v>
      </c>
      <c r="BE9" s="1">
        <v>1</v>
      </c>
      <c r="BF9" s="1">
        <v>61</v>
      </c>
      <c r="BG9" s="1"/>
      <c r="BH9" s="2">
        <f t="shared" si="11"/>
        <v>7.0228103623876565</v>
      </c>
      <c r="BI9" s="1">
        <f t="shared" si="12"/>
        <v>6.1623682011906444</v>
      </c>
      <c r="BJ9" s="2">
        <f t="shared" si="13"/>
        <v>0.86044216119701211</v>
      </c>
      <c r="BK9" s="2">
        <f t="shared" si="14"/>
        <v>13.185178563578301</v>
      </c>
      <c r="BL9" s="1">
        <f t="shared" si="15"/>
        <v>6.5258286571395388E-2</v>
      </c>
      <c r="BM9" s="1">
        <f t="shared" si="16"/>
        <v>6.525828657139539</v>
      </c>
      <c r="BN9" s="1">
        <f t="shared" si="17"/>
        <v>1.0971747652401165</v>
      </c>
    </row>
    <row r="10" spans="2:66" x14ac:dyDescent="0.3">
      <c r="B10" s="8">
        <v>7</v>
      </c>
      <c r="C10" s="56"/>
      <c r="D10" s="10" t="s">
        <v>22</v>
      </c>
      <c r="E10" s="8" t="s">
        <v>21</v>
      </c>
      <c r="F10" s="8">
        <v>20.347449000000001</v>
      </c>
      <c r="G10" s="8">
        <v>85.814167999999995</v>
      </c>
      <c r="H10" s="9">
        <v>4.78</v>
      </c>
      <c r="I10" s="9">
        <v>469.64</v>
      </c>
      <c r="J10" s="8">
        <v>64</v>
      </c>
      <c r="K10" s="8">
        <v>62</v>
      </c>
      <c r="L10" s="6">
        <v>30.87</v>
      </c>
      <c r="M10" s="6">
        <v>5.66</v>
      </c>
      <c r="N10" s="6">
        <v>47.69</v>
      </c>
      <c r="O10" s="6">
        <v>19.21</v>
      </c>
      <c r="P10" s="7">
        <v>0.5</v>
      </c>
      <c r="Q10" s="5">
        <v>62.94</v>
      </c>
      <c r="R10" s="8">
        <v>54.54</v>
      </c>
      <c r="S10" s="8">
        <v>30.08</v>
      </c>
      <c r="T10" s="8">
        <v>42.5</v>
      </c>
      <c r="U10" s="8">
        <v>0.21</v>
      </c>
      <c r="V10" s="8">
        <v>5.0999999999999996</v>
      </c>
      <c r="W10" s="9">
        <f t="shared" si="18"/>
        <v>305.26600000000002</v>
      </c>
      <c r="X10" s="1">
        <f t="shared" si="0"/>
        <v>54.75</v>
      </c>
      <c r="Y10" s="2">
        <f t="shared" si="1"/>
        <v>250.51600000000002</v>
      </c>
      <c r="Z10" s="2"/>
      <c r="AA10" s="2">
        <f t="shared" si="19"/>
        <v>103.93</v>
      </c>
      <c r="AB10" s="2">
        <f t="shared" si="20"/>
        <v>190.26999999999998</v>
      </c>
      <c r="AC10" s="2">
        <f t="shared" si="21"/>
        <v>-86.339999999999975</v>
      </c>
      <c r="AD10" s="2">
        <f t="shared" si="22"/>
        <v>294.2</v>
      </c>
      <c r="AE10" s="2">
        <f t="shared" si="23"/>
        <v>-29.347382732834799</v>
      </c>
      <c r="AF10" s="4">
        <f t="shared" si="2"/>
        <v>1.5435000000000001</v>
      </c>
      <c r="AG10" s="2">
        <v>2</v>
      </c>
      <c r="AH10" s="2">
        <v>40</v>
      </c>
      <c r="AI10" s="3">
        <f t="shared" si="3"/>
        <v>0.46584362139917695</v>
      </c>
      <c r="AJ10" s="1">
        <v>2</v>
      </c>
      <c r="AK10" s="1">
        <v>24.3</v>
      </c>
      <c r="AL10" s="3">
        <f t="shared" si="4"/>
        <v>2.0734782608695652</v>
      </c>
      <c r="AM10" s="1">
        <v>1</v>
      </c>
      <c r="AN10" s="1">
        <v>23</v>
      </c>
      <c r="AO10" s="3">
        <f t="shared" si="5"/>
        <v>0.4925641025641026</v>
      </c>
      <c r="AP10" s="1">
        <v>1</v>
      </c>
      <c r="AQ10" s="1">
        <v>39</v>
      </c>
      <c r="AR10" s="3">
        <f t="shared" si="6"/>
        <v>1.536338028169014</v>
      </c>
      <c r="AS10" s="1">
        <v>1</v>
      </c>
      <c r="AT10" s="1">
        <v>35.5</v>
      </c>
      <c r="AU10" s="3">
        <f t="shared" si="7"/>
        <v>1.1058451816745656E-2</v>
      </c>
      <c r="AV10" s="1">
        <v>1</v>
      </c>
      <c r="AW10" s="1">
        <v>18.989999999999998</v>
      </c>
      <c r="AX10" s="3">
        <f t="shared" si="8"/>
        <v>0.68537332688276087</v>
      </c>
      <c r="AY10" s="1">
        <v>1</v>
      </c>
      <c r="AZ10" s="1">
        <v>62.01</v>
      </c>
      <c r="BA10" s="3">
        <f t="shared" si="9"/>
        <v>0.62666666666666659</v>
      </c>
      <c r="BB10" s="1">
        <v>2</v>
      </c>
      <c r="BC10" s="1">
        <v>96</v>
      </c>
      <c r="BD10" s="3">
        <f t="shared" si="10"/>
        <v>1.0318032786885245</v>
      </c>
      <c r="BE10" s="1">
        <v>1</v>
      </c>
      <c r="BF10" s="1">
        <v>61</v>
      </c>
      <c r="BG10" s="1"/>
      <c r="BH10" s="2">
        <f t="shared" si="11"/>
        <v>4.5753859848328453</v>
      </c>
      <c r="BI10" s="1">
        <f t="shared" si="12"/>
        <v>3.8912397522237114</v>
      </c>
      <c r="BJ10" s="2">
        <f t="shared" si="13"/>
        <v>0.68414623260913388</v>
      </c>
      <c r="BK10" s="2">
        <f t="shared" si="14"/>
        <v>8.4666257370565567</v>
      </c>
      <c r="BL10" s="1">
        <f t="shared" si="15"/>
        <v>8.0805063771128616E-2</v>
      </c>
      <c r="BM10" s="1">
        <f t="shared" si="16"/>
        <v>8.0805063771128616</v>
      </c>
      <c r="BN10" s="1">
        <f t="shared" si="17"/>
        <v>1.3496237304889911</v>
      </c>
    </row>
    <row r="11" spans="2:66" s="11" customFormat="1" x14ac:dyDescent="0.3">
      <c r="B11" s="8">
        <v>8</v>
      </c>
      <c r="C11" s="56"/>
      <c r="D11" s="10" t="s">
        <v>20</v>
      </c>
      <c r="E11" s="8" t="s">
        <v>19</v>
      </c>
      <c r="F11" s="8">
        <v>20.329160000000002</v>
      </c>
      <c r="G11" s="8">
        <v>85.826770999999994</v>
      </c>
      <c r="H11" s="9">
        <v>5.04</v>
      </c>
      <c r="I11" s="9">
        <v>733.22</v>
      </c>
      <c r="J11" s="8">
        <v>54</v>
      </c>
      <c r="K11" s="8">
        <v>145</v>
      </c>
      <c r="L11" s="6">
        <v>61.8</v>
      </c>
      <c r="M11" s="6">
        <v>11.52</v>
      </c>
      <c r="N11" s="6">
        <v>76.63</v>
      </c>
      <c r="O11" s="6">
        <v>4.3600000000000003</v>
      </c>
      <c r="P11" s="7">
        <v>0.14000000000000001</v>
      </c>
      <c r="Q11" s="5">
        <v>201.57</v>
      </c>
      <c r="R11" s="8">
        <v>70.14</v>
      </c>
      <c r="S11" s="8">
        <v>24.1</v>
      </c>
      <c r="T11" s="8">
        <v>21.43</v>
      </c>
      <c r="U11" s="8">
        <v>0.12</v>
      </c>
      <c r="V11" s="8">
        <v>3.15</v>
      </c>
      <c r="W11" s="9">
        <f t="shared" si="18"/>
        <v>476.59300000000002</v>
      </c>
      <c r="X11" s="1">
        <f t="shared" si="0"/>
        <v>70.260000000000005</v>
      </c>
      <c r="Y11" s="2">
        <f t="shared" si="1"/>
        <v>406.33300000000003</v>
      </c>
      <c r="Z11" s="2"/>
      <c r="AA11" s="2">
        <f t="shared" si="19"/>
        <v>154.44999999999999</v>
      </c>
      <c r="AB11" s="2">
        <f t="shared" si="20"/>
        <v>317.36</v>
      </c>
      <c r="AC11" s="2">
        <f t="shared" si="21"/>
        <v>-162.91000000000003</v>
      </c>
      <c r="AD11" s="2">
        <f t="shared" si="22"/>
        <v>471.81</v>
      </c>
      <c r="AE11" s="2">
        <f t="shared" si="23"/>
        <v>-34.528729785294928</v>
      </c>
      <c r="AF11" s="4">
        <f t="shared" si="2"/>
        <v>3.09</v>
      </c>
      <c r="AG11" s="2">
        <v>2</v>
      </c>
      <c r="AH11" s="2">
        <v>40</v>
      </c>
      <c r="AI11" s="3">
        <f t="shared" si="3"/>
        <v>0.94814814814814807</v>
      </c>
      <c r="AJ11" s="1">
        <v>2</v>
      </c>
      <c r="AK11" s="1">
        <v>24.3</v>
      </c>
      <c r="AL11" s="3">
        <f t="shared" si="4"/>
        <v>3.3317391304347823</v>
      </c>
      <c r="AM11" s="1">
        <v>1</v>
      </c>
      <c r="AN11" s="1">
        <v>23</v>
      </c>
      <c r="AO11" s="3">
        <f t="shared" si="5"/>
        <v>0.1117948717948718</v>
      </c>
      <c r="AP11" s="1">
        <v>1</v>
      </c>
      <c r="AQ11" s="1">
        <v>39</v>
      </c>
      <c r="AR11" s="3">
        <f t="shared" si="6"/>
        <v>1.9757746478873239</v>
      </c>
      <c r="AS11" s="1">
        <v>1</v>
      </c>
      <c r="AT11" s="1">
        <v>35.5</v>
      </c>
      <c r="AU11" s="3">
        <f t="shared" si="7"/>
        <v>6.3191153238546603E-3</v>
      </c>
      <c r="AV11" s="1">
        <v>1</v>
      </c>
      <c r="AW11" s="1">
        <v>18.989999999999998</v>
      </c>
      <c r="AX11" s="3">
        <f t="shared" si="8"/>
        <v>0.34558942106111917</v>
      </c>
      <c r="AY11" s="1">
        <v>1</v>
      </c>
      <c r="AZ11" s="1">
        <v>62.01</v>
      </c>
      <c r="BA11" s="3">
        <f t="shared" si="9"/>
        <v>0.50208333333333333</v>
      </c>
      <c r="BB11" s="1">
        <v>2</v>
      </c>
      <c r="BC11" s="1">
        <v>96</v>
      </c>
      <c r="BD11" s="3">
        <f t="shared" si="10"/>
        <v>3.3044262295081968</v>
      </c>
      <c r="BE11" s="1">
        <v>1</v>
      </c>
      <c r="BF11" s="1">
        <v>61</v>
      </c>
      <c r="BG11" s="1"/>
      <c r="BH11" s="2">
        <f t="shared" si="11"/>
        <v>7.481682150377801</v>
      </c>
      <c r="BI11" s="1">
        <f t="shared" si="12"/>
        <v>6.1341927471138273</v>
      </c>
      <c r="BJ11" s="2">
        <f t="shared" si="13"/>
        <v>1.3474894032639737</v>
      </c>
      <c r="BK11" s="2">
        <f t="shared" si="14"/>
        <v>13.615874897491629</v>
      </c>
      <c r="BL11" s="1">
        <f t="shared" si="15"/>
        <v>9.8964584605004971E-2</v>
      </c>
      <c r="BM11" s="1">
        <f t="shared" si="16"/>
        <v>9.8964584605004973</v>
      </c>
      <c r="BN11" s="1">
        <f t="shared" si="17"/>
        <v>1.6862951116400737</v>
      </c>
    </row>
    <row r="12" spans="2:66" x14ac:dyDescent="0.3">
      <c r="B12" s="8">
        <v>9</v>
      </c>
      <c r="C12" s="56"/>
      <c r="D12" s="10" t="s">
        <v>18</v>
      </c>
      <c r="E12" s="8" t="s">
        <v>17</v>
      </c>
      <c r="F12" s="8">
        <v>20.298776</v>
      </c>
      <c r="G12" s="8">
        <v>85.866260999999994</v>
      </c>
      <c r="H12" s="9">
        <v>6.16</v>
      </c>
      <c r="I12" s="9">
        <v>617.91999999999996</v>
      </c>
      <c r="J12" s="8">
        <v>79</v>
      </c>
      <c r="K12" s="8">
        <v>160</v>
      </c>
      <c r="L12" s="6">
        <v>48.47</v>
      </c>
      <c r="M12" s="6">
        <v>11.14</v>
      </c>
      <c r="N12" s="6">
        <v>43.44</v>
      </c>
      <c r="O12" s="6">
        <v>6.39</v>
      </c>
      <c r="P12" s="7">
        <v>0.55000000000000004</v>
      </c>
      <c r="Q12" s="5">
        <v>87.44</v>
      </c>
      <c r="R12" s="8">
        <v>148.53</v>
      </c>
      <c r="S12" s="8">
        <v>19.899999999999999</v>
      </c>
      <c r="T12" s="8">
        <v>29.82</v>
      </c>
      <c r="U12" s="8">
        <v>0.04</v>
      </c>
      <c r="V12" s="8">
        <v>3.3</v>
      </c>
      <c r="W12" s="9">
        <f t="shared" si="18"/>
        <v>401.64799999999997</v>
      </c>
      <c r="X12" s="1">
        <f t="shared" si="0"/>
        <v>148.57</v>
      </c>
      <c r="Y12" s="2">
        <f t="shared" si="1"/>
        <v>253.07799999999997</v>
      </c>
      <c r="Z12" s="2"/>
      <c r="AA12" s="2">
        <f t="shared" si="19"/>
        <v>109.99</v>
      </c>
      <c r="AB12" s="2">
        <f t="shared" si="20"/>
        <v>285.73</v>
      </c>
      <c r="AC12" s="2">
        <f t="shared" si="21"/>
        <v>-175.74</v>
      </c>
      <c r="AD12" s="2">
        <f t="shared" si="22"/>
        <v>395.72</v>
      </c>
      <c r="AE12" s="2">
        <f t="shared" si="23"/>
        <v>-44.410189022541189</v>
      </c>
      <c r="AF12" s="4">
        <f t="shared" si="2"/>
        <v>2.4234999999999998</v>
      </c>
      <c r="AG12" s="2">
        <v>2</v>
      </c>
      <c r="AH12" s="2">
        <v>40</v>
      </c>
      <c r="AI12" s="3">
        <f t="shared" si="3"/>
        <v>0.91687242798353907</v>
      </c>
      <c r="AJ12" s="1">
        <v>2</v>
      </c>
      <c r="AK12" s="1">
        <v>24.3</v>
      </c>
      <c r="AL12" s="3">
        <f t="shared" si="4"/>
        <v>1.8886956521739129</v>
      </c>
      <c r="AM12" s="1">
        <v>1</v>
      </c>
      <c r="AN12" s="1">
        <v>23</v>
      </c>
      <c r="AO12" s="3">
        <f t="shared" si="5"/>
        <v>0.16384615384615384</v>
      </c>
      <c r="AP12" s="1">
        <v>1</v>
      </c>
      <c r="AQ12" s="1">
        <v>39</v>
      </c>
      <c r="AR12" s="3">
        <f t="shared" si="6"/>
        <v>4.1839436619718313</v>
      </c>
      <c r="AS12" s="1">
        <v>1</v>
      </c>
      <c r="AT12" s="1">
        <v>35.5</v>
      </c>
      <c r="AU12" s="3">
        <f t="shared" si="7"/>
        <v>2.1063717746182204E-3</v>
      </c>
      <c r="AV12" s="1">
        <v>1</v>
      </c>
      <c r="AW12" s="1">
        <v>18.989999999999998</v>
      </c>
      <c r="AX12" s="3">
        <f t="shared" si="8"/>
        <v>0.4808901790033866</v>
      </c>
      <c r="AY12" s="1">
        <v>1</v>
      </c>
      <c r="AZ12" s="1">
        <v>62.01</v>
      </c>
      <c r="BA12" s="3">
        <f t="shared" si="9"/>
        <v>0.4145833333333333</v>
      </c>
      <c r="BB12" s="1">
        <v>2</v>
      </c>
      <c r="BC12" s="1">
        <v>96</v>
      </c>
      <c r="BD12" s="3">
        <f t="shared" si="10"/>
        <v>1.4334426229508197</v>
      </c>
      <c r="BE12" s="1">
        <v>1</v>
      </c>
      <c r="BF12" s="1">
        <v>61</v>
      </c>
      <c r="BG12" s="1"/>
      <c r="BH12" s="2">
        <f t="shared" si="11"/>
        <v>5.392914234003606</v>
      </c>
      <c r="BI12" s="1">
        <f t="shared" si="12"/>
        <v>6.5149661690339897</v>
      </c>
      <c r="BJ12" s="2">
        <f t="shared" si="13"/>
        <v>-1.1220519350303837</v>
      </c>
      <c r="BK12" s="2">
        <f t="shared" si="14"/>
        <v>11.907880403037595</v>
      </c>
      <c r="BL12" s="1">
        <f t="shared" si="15"/>
        <v>-9.4227679238713058E-2</v>
      </c>
      <c r="BM12" s="1">
        <f t="shared" si="16"/>
        <v>-9.4227679238713051</v>
      </c>
      <c r="BN12" s="1">
        <f t="shared" si="17"/>
        <v>0.45141517304365381</v>
      </c>
    </row>
    <row r="13" spans="2:66" x14ac:dyDescent="0.3">
      <c r="B13" s="8">
        <v>10</v>
      </c>
      <c r="C13" s="56"/>
      <c r="D13" s="10" t="s">
        <v>16</v>
      </c>
      <c r="E13" s="8" t="s">
        <v>15</v>
      </c>
      <c r="F13" s="8">
        <v>20.36326</v>
      </c>
      <c r="G13" s="8">
        <v>85.753206000000006</v>
      </c>
      <c r="H13" s="9">
        <v>5.5472152538904149</v>
      </c>
      <c r="I13" s="9">
        <v>656.18</v>
      </c>
      <c r="J13" s="8">
        <v>87</v>
      </c>
      <c r="K13" s="8">
        <v>111</v>
      </c>
      <c r="L13" s="6">
        <v>41.45</v>
      </c>
      <c r="M13" s="6">
        <v>10.54</v>
      </c>
      <c r="N13" s="6">
        <v>48.95</v>
      </c>
      <c r="O13" s="6">
        <v>19.170000000000002</v>
      </c>
      <c r="P13" s="7">
        <v>0.46</v>
      </c>
      <c r="Q13" s="5">
        <v>132.04</v>
      </c>
      <c r="R13" s="8">
        <v>130.32</v>
      </c>
      <c r="S13" s="8">
        <v>21.22</v>
      </c>
      <c r="T13" s="8">
        <v>16.670000000000002</v>
      </c>
      <c r="U13" s="8">
        <v>0.05</v>
      </c>
      <c r="V13" s="8">
        <v>6.56</v>
      </c>
      <c r="W13" s="9">
        <f t="shared" si="18"/>
        <v>426.517</v>
      </c>
      <c r="X13" s="1">
        <f t="shared" si="0"/>
        <v>130.37</v>
      </c>
      <c r="Y13" s="2">
        <f t="shared" si="1"/>
        <v>296.14699999999999</v>
      </c>
      <c r="Z13" s="2"/>
      <c r="AA13" s="2">
        <f t="shared" si="19"/>
        <v>120.57</v>
      </c>
      <c r="AB13" s="2">
        <f t="shared" si="20"/>
        <v>300.3</v>
      </c>
      <c r="AC13" s="2">
        <f t="shared" si="21"/>
        <v>-179.73000000000002</v>
      </c>
      <c r="AD13" s="2">
        <f t="shared" si="22"/>
        <v>420.87</v>
      </c>
      <c r="AE13" s="2">
        <f t="shared" si="23"/>
        <v>-42.704398032646665</v>
      </c>
      <c r="AF13" s="4">
        <f t="shared" si="2"/>
        <v>2.0725000000000002</v>
      </c>
      <c r="AG13" s="2">
        <v>2</v>
      </c>
      <c r="AH13" s="2">
        <v>40</v>
      </c>
      <c r="AI13" s="3">
        <f t="shared" si="3"/>
        <v>0.86748971193415625</v>
      </c>
      <c r="AJ13" s="1">
        <v>2</v>
      </c>
      <c r="AK13" s="1">
        <v>24.3</v>
      </c>
      <c r="AL13" s="3">
        <f t="shared" si="4"/>
        <v>2.1282608695652177</v>
      </c>
      <c r="AM13" s="1">
        <v>1</v>
      </c>
      <c r="AN13" s="1">
        <v>23</v>
      </c>
      <c r="AO13" s="3">
        <f t="shared" si="5"/>
        <v>0.49153846153846159</v>
      </c>
      <c r="AP13" s="1">
        <v>1</v>
      </c>
      <c r="AQ13" s="1">
        <v>39</v>
      </c>
      <c r="AR13" s="3">
        <f t="shared" si="6"/>
        <v>3.6709859154929574</v>
      </c>
      <c r="AS13" s="1">
        <v>1</v>
      </c>
      <c r="AT13" s="1">
        <v>35.5</v>
      </c>
      <c r="AU13" s="3">
        <f t="shared" si="7"/>
        <v>2.6329647182727757E-3</v>
      </c>
      <c r="AV13" s="1">
        <v>1</v>
      </c>
      <c r="AW13" s="1">
        <v>18.989999999999998</v>
      </c>
      <c r="AX13" s="3">
        <f t="shared" si="8"/>
        <v>0.26882760845025</v>
      </c>
      <c r="AY13" s="1">
        <v>1</v>
      </c>
      <c r="AZ13" s="1">
        <v>62.01</v>
      </c>
      <c r="BA13" s="3">
        <f t="shared" si="9"/>
        <v>0.44208333333333333</v>
      </c>
      <c r="BB13" s="1">
        <v>2</v>
      </c>
      <c r="BC13" s="1">
        <v>96</v>
      </c>
      <c r="BD13" s="3">
        <f t="shared" si="10"/>
        <v>2.164590163934426</v>
      </c>
      <c r="BE13" s="1">
        <v>1</v>
      </c>
      <c r="BF13" s="1">
        <v>61</v>
      </c>
      <c r="BG13" s="1"/>
      <c r="BH13" s="2">
        <f t="shared" si="11"/>
        <v>5.5597890430378358</v>
      </c>
      <c r="BI13" s="1">
        <f t="shared" si="12"/>
        <v>6.5491199859292397</v>
      </c>
      <c r="BJ13" s="2">
        <f t="shared" si="13"/>
        <v>-0.98933094289140389</v>
      </c>
      <c r="BK13" s="2">
        <f t="shared" si="14"/>
        <v>12.108909028967076</v>
      </c>
      <c r="BL13" s="1">
        <f t="shared" si="15"/>
        <v>-8.1702731478510135E-2</v>
      </c>
      <c r="BM13" s="1">
        <f t="shared" si="16"/>
        <v>-8.1702731478510131</v>
      </c>
      <c r="BN13" s="1">
        <f t="shared" si="17"/>
        <v>0.57975184829316473</v>
      </c>
    </row>
    <row r="14" spans="2:66" x14ac:dyDescent="0.3">
      <c r="B14" s="8">
        <v>11</v>
      </c>
      <c r="C14" s="56" t="s">
        <v>14</v>
      </c>
      <c r="D14" s="10" t="s">
        <v>13</v>
      </c>
      <c r="E14" s="8" t="s">
        <v>12</v>
      </c>
      <c r="F14" s="8">
        <v>20.388677999999999</v>
      </c>
      <c r="G14" s="8">
        <v>85.792107000000001</v>
      </c>
      <c r="H14" s="9">
        <v>5.76</v>
      </c>
      <c r="I14" s="9">
        <v>585.9</v>
      </c>
      <c r="J14" s="8">
        <v>63</v>
      </c>
      <c r="K14" s="8">
        <v>45</v>
      </c>
      <c r="L14" s="6">
        <v>40.14</v>
      </c>
      <c r="M14" s="6">
        <v>8.4600000000000009</v>
      </c>
      <c r="N14" s="6">
        <v>58.26</v>
      </c>
      <c r="O14" s="6">
        <v>12.66</v>
      </c>
      <c r="P14" s="7">
        <v>0.27</v>
      </c>
      <c r="Q14" s="5">
        <v>196.6</v>
      </c>
      <c r="R14" s="8">
        <v>29.94</v>
      </c>
      <c r="S14" s="8">
        <v>14.94</v>
      </c>
      <c r="T14" s="8">
        <v>19.34</v>
      </c>
      <c r="U14" s="8">
        <v>0.15</v>
      </c>
      <c r="V14" s="8">
        <v>6.85</v>
      </c>
      <c r="W14" s="9">
        <f t="shared" si="18"/>
        <v>380.83499999999998</v>
      </c>
      <c r="X14" s="1">
        <f t="shared" si="0"/>
        <v>30.09</v>
      </c>
      <c r="Y14" s="2">
        <f t="shared" si="1"/>
        <v>350.745</v>
      </c>
      <c r="Z14" s="2"/>
      <c r="AA14" s="2">
        <f t="shared" si="19"/>
        <v>119.78999999999999</v>
      </c>
      <c r="AB14" s="2">
        <f t="shared" si="20"/>
        <v>260.97000000000003</v>
      </c>
      <c r="AC14" s="2">
        <f t="shared" si="21"/>
        <v>-141.18000000000004</v>
      </c>
      <c r="AD14" s="2">
        <f t="shared" si="22"/>
        <v>380.76</v>
      </c>
      <c r="AE14" s="2">
        <f t="shared" si="23"/>
        <v>-37.078474629688003</v>
      </c>
      <c r="AF14" s="4">
        <f t="shared" si="2"/>
        <v>2.0070000000000001</v>
      </c>
      <c r="AG14" s="2">
        <v>2</v>
      </c>
      <c r="AH14" s="2">
        <v>40</v>
      </c>
      <c r="AI14" s="3">
        <f t="shared" si="3"/>
        <v>0.6962962962962963</v>
      </c>
      <c r="AJ14" s="1">
        <v>2</v>
      </c>
      <c r="AK14" s="1">
        <v>24.3</v>
      </c>
      <c r="AL14" s="3">
        <f t="shared" si="4"/>
        <v>2.5330434782608693</v>
      </c>
      <c r="AM14" s="1">
        <v>1</v>
      </c>
      <c r="AN14" s="1">
        <v>23</v>
      </c>
      <c r="AO14" s="3">
        <f t="shared" si="5"/>
        <v>0.32461538461538464</v>
      </c>
      <c r="AP14" s="1">
        <v>1</v>
      </c>
      <c r="AQ14" s="1">
        <v>39</v>
      </c>
      <c r="AR14" s="3">
        <f t="shared" si="6"/>
        <v>0.8433802816901409</v>
      </c>
      <c r="AS14" s="1">
        <v>1</v>
      </c>
      <c r="AT14" s="1">
        <v>35.5</v>
      </c>
      <c r="AU14" s="3">
        <f t="shared" si="7"/>
        <v>7.8988941548183266E-3</v>
      </c>
      <c r="AV14" s="1">
        <v>1</v>
      </c>
      <c r="AW14" s="1">
        <v>18.989999999999998</v>
      </c>
      <c r="AX14" s="3">
        <f t="shared" si="8"/>
        <v>0.31188517980970815</v>
      </c>
      <c r="AY14" s="1">
        <v>1</v>
      </c>
      <c r="AZ14" s="1">
        <v>62.01</v>
      </c>
      <c r="BA14" s="3">
        <f t="shared" si="9"/>
        <v>0.31124999999999997</v>
      </c>
      <c r="BB14" s="1">
        <v>2</v>
      </c>
      <c r="BC14" s="1">
        <v>96</v>
      </c>
      <c r="BD14" s="3">
        <f t="shared" si="10"/>
        <v>3.222950819672131</v>
      </c>
      <c r="BE14" s="1">
        <v>1</v>
      </c>
      <c r="BF14" s="1">
        <v>61</v>
      </c>
      <c r="BG14" s="1"/>
      <c r="BH14" s="2">
        <f t="shared" si="11"/>
        <v>5.5609551591725506</v>
      </c>
      <c r="BI14" s="1">
        <f t="shared" si="12"/>
        <v>4.697365175326798</v>
      </c>
      <c r="BJ14" s="2">
        <f t="shared" si="13"/>
        <v>0.86358998384575258</v>
      </c>
      <c r="BK14" s="2">
        <f t="shared" si="14"/>
        <v>10.258320334499349</v>
      </c>
      <c r="BL14" s="1">
        <f t="shared" si="15"/>
        <v>8.4184345554256815E-2</v>
      </c>
      <c r="BM14" s="1">
        <f t="shared" si="16"/>
        <v>8.4184345554256819</v>
      </c>
      <c r="BN14" s="1">
        <f t="shared" si="17"/>
        <v>3.0034416659405765</v>
      </c>
    </row>
    <row r="15" spans="2:66" x14ac:dyDescent="0.3">
      <c r="B15" s="8">
        <v>12</v>
      </c>
      <c r="C15" s="56"/>
      <c r="D15" s="10" t="s">
        <v>11</v>
      </c>
      <c r="E15" s="8" t="s">
        <v>10</v>
      </c>
      <c r="F15" s="8">
        <v>20.235861</v>
      </c>
      <c r="G15" s="8">
        <v>85.835819999999998</v>
      </c>
      <c r="H15" s="9">
        <v>5.52</v>
      </c>
      <c r="I15" s="9">
        <v>695.31</v>
      </c>
      <c r="J15" s="8">
        <v>45</v>
      </c>
      <c r="K15" s="8">
        <v>151</v>
      </c>
      <c r="L15" s="6">
        <v>60.74</v>
      </c>
      <c r="M15" s="6">
        <v>13.07</v>
      </c>
      <c r="N15" s="6">
        <v>57.95</v>
      </c>
      <c r="O15" s="6">
        <v>12.34</v>
      </c>
      <c r="P15" s="7">
        <v>0.34</v>
      </c>
      <c r="Q15" s="5">
        <v>82.1</v>
      </c>
      <c r="R15" s="8">
        <v>131.57</v>
      </c>
      <c r="S15" s="8">
        <v>32.049999999999997</v>
      </c>
      <c r="T15" s="8">
        <v>12.13</v>
      </c>
      <c r="U15" s="8">
        <v>0.15</v>
      </c>
      <c r="V15" s="8">
        <v>6.04</v>
      </c>
      <c r="W15" s="9">
        <f t="shared" si="18"/>
        <v>451.95149999999995</v>
      </c>
      <c r="X15" s="1">
        <f t="shared" si="0"/>
        <v>131.72</v>
      </c>
      <c r="Y15" s="2">
        <f t="shared" si="1"/>
        <v>320.23149999999998</v>
      </c>
      <c r="Z15" s="2"/>
      <c r="AA15" s="2">
        <f t="shared" si="19"/>
        <v>144.44000000000003</v>
      </c>
      <c r="AB15" s="2">
        <f t="shared" si="20"/>
        <v>258</v>
      </c>
      <c r="AC15" s="2">
        <f t="shared" si="21"/>
        <v>-113.55999999999997</v>
      </c>
      <c r="AD15" s="2">
        <f t="shared" si="22"/>
        <v>402.44000000000005</v>
      </c>
      <c r="AE15" s="2">
        <f t="shared" si="23"/>
        <v>-28.217870986979417</v>
      </c>
      <c r="AF15" s="4">
        <f t="shared" si="2"/>
        <v>3.0369999999999999</v>
      </c>
      <c r="AG15" s="2">
        <v>2</v>
      </c>
      <c r="AH15" s="2">
        <v>40</v>
      </c>
      <c r="AI15" s="3">
        <f t="shared" si="3"/>
        <v>1.0757201646090535</v>
      </c>
      <c r="AJ15" s="1">
        <v>2</v>
      </c>
      <c r="AK15" s="1">
        <v>24.3</v>
      </c>
      <c r="AL15" s="3">
        <f t="shared" si="4"/>
        <v>2.5195652173913046</v>
      </c>
      <c r="AM15" s="1">
        <v>1</v>
      </c>
      <c r="AN15" s="1">
        <v>23</v>
      </c>
      <c r="AO15" s="3">
        <f t="shared" si="5"/>
        <v>0.31641025641025639</v>
      </c>
      <c r="AP15" s="1">
        <v>1</v>
      </c>
      <c r="AQ15" s="1">
        <v>39</v>
      </c>
      <c r="AR15" s="3">
        <f t="shared" si="6"/>
        <v>3.7061971830985914</v>
      </c>
      <c r="AS15" s="1">
        <v>1</v>
      </c>
      <c r="AT15" s="1">
        <v>35.5</v>
      </c>
      <c r="AU15" s="3">
        <f t="shared" si="7"/>
        <v>7.8988941548183266E-3</v>
      </c>
      <c r="AV15" s="1">
        <v>1</v>
      </c>
      <c r="AW15" s="1">
        <v>18.989999999999998</v>
      </c>
      <c r="AX15" s="3">
        <f t="shared" si="8"/>
        <v>0.19561361070795036</v>
      </c>
      <c r="AY15" s="1">
        <v>1</v>
      </c>
      <c r="AZ15" s="1">
        <v>62.01</v>
      </c>
      <c r="BA15" s="3">
        <f t="shared" si="9"/>
        <v>0.66770833333333324</v>
      </c>
      <c r="BB15" s="1">
        <v>2</v>
      </c>
      <c r="BC15" s="1">
        <v>96</v>
      </c>
      <c r="BD15" s="3">
        <f t="shared" si="10"/>
        <v>1.3459016393442622</v>
      </c>
      <c r="BE15" s="1">
        <v>1</v>
      </c>
      <c r="BF15" s="1">
        <v>61</v>
      </c>
      <c r="BG15" s="1"/>
      <c r="BH15" s="2">
        <f t="shared" si="11"/>
        <v>6.948695638410614</v>
      </c>
      <c r="BI15" s="1">
        <f t="shared" si="12"/>
        <v>5.9233196606389553</v>
      </c>
      <c r="BJ15" s="2">
        <f t="shared" si="13"/>
        <v>1.0253759777716587</v>
      </c>
      <c r="BK15" s="2">
        <f t="shared" si="14"/>
        <v>12.872015299049568</v>
      </c>
      <c r="BL15" s="1">
        <f t="shared" si="15"/>
        <v>7.9659319380032859E-2</v>
      </c>
      <c r="BM15" s="1">
        <f t="shared" si="16"/>
        <v>7.965931938003286</v>
      </c>
      <c r="BN15" s="1">
        <f t="shared" si="17"/>
        <v>0.67982492374698877</v>
      </c>
    </row>
    <row r="16" spans="2:66" ht="26.4" x14ac:dyDescent="0.3">
      <c r="B16" s="8">
        <v>13</v>
      </c>
      <c r="C16" s="56"/>
      <c r="D16" s="10" t="s">
        <v>9</v>
      </c>
      <c r="E16" s="8" t="s">
        <v>8</v>
      </c>
      <c r="F16" s="8">
        <v>20.284300999999999</v>
      </c>
      <c r="G16" s="8">
        <v>85.833995000000002</v>
      </c>
      <c r="H16" s="9">
        <v>6.77</v>
      </c>
      <c r="I16" s="9">
        <v>545.46</v>
      </c>
      <c r="J16" s="8">
        <v>125</v>
      </c>
      <c r="K16" s="8">
        <v>110</v>
      </c>
      <c r="L16" s="6">
        <v>46.61</v>
      </c>
      <c r="M16" s="6">
        <v>6.61</v>
      </c>
      <c r="N16" s="6">
        <v>28.68</v>
      </c>
      <c r="O16" s="6">
        <v>17.53</v>
      </c>
      <c r="P16" s="7">
        <v>0.57999999999999996</v>
      </c>
      <c r="Q16" s="5">
        <v>65.62</v>
      </c>
      <c r="R16" s="8">
        <v>130.78</v>
      </c>
      <c r="S16" s="8">
        <v>15.45</v>
      </c>
      <c r="T16" s="8">
        <v>17.8</v>
      </c>
      <c r="U16" s="8">
        <v>0.13</v>
      </c>
      <c r="V16" s="8">
        <v>2.2999999999999998</v>
      </c>
      <c r="W16" s="9">
        <f t="shared" si="18"/>
        <v>354.54900000000004</v>
      </c>
      <c r="X16" s="1">
        <f t="shared" si="0"/>
        <v>130.91</v>
      </c>
      <c r="Y16" s="2">
        <f t="shared" si="1"/>
        <v>223.63900000000004</v>
      </c>
      <c r="Z16" s="2"/>
      <c r="AA16" s="2">
        <f t="shared" si="19"/>
        <v>100.01</v>
      </c>
      <c r="AB16" s="2">
        <f t="shared" si="20"/>
        <v>229.78</v>
      </c>
      <c r="AC16" s="2">
        <f t="shared" si="21"/>
        <v>-129.76999999999998</v>
      </c>
      <c r="AD16" s="2">
        <f t="shared" si="22"/>
        <v>329.79</v>
      </c>
      <c r="AE16" s="2">
        <f t="shared" si="23"/>
        <v>-39.349282876982315</v>
      </c>
      <c r="AF16" s="4">
        <f t="shared" si="2"/>
        <v>2.3304999999999998</v>
      </c>
      <c r="AG16" s="2">
        <v>2</v>
      </c>
      <c r="AH16" s="2">
        <v>40</v>
      </c>
      <c r="AI16" s="3">
        <f t="shared" si="3"/>
        <v>0.54403292181069962</v>
      </c>
      <c r="AJ16" s="1">
        <v>2</v>
      </c>
      <c r="AK16" s="1">
        <v>24.3</v>
      </c>
      <c r="AL16" s="3">
        <f t="shared" si="4"/>
        <v>1.2469565217391305</v>
      </c>
      <c r="AM16" s="1">
        <v>1</v>
      </c>
      <c r="AN16" s="1">
        <v>23</v>
      </c>
      <c r="AO16" s="3">
        <f t="shared" si="5"/>
        <v>0.44948717948717953</v>
      </c>
      <c r="AP16" s="1">
        <v>1</v>
      </c>
      <c r="AQ16" s="1">
        <v>39</v>
      </c>
      <c r="AR16" s="3">
        <f t="shared" si="6"/>
        <v>3.6839436619718309</v>
      </c>
      <c r="AS16" s="1">
        <v>1</v>
      </c>
      <c r="AT16" s="1">
        <v>35.5</v>
      </c>
      <c r="AU16" s="3">
        <f t="shared" si="7"/>
        <v>6.845708267509216E-3</v>
      </c>
      <c r="AV16" s="1">
        <v>1</v>
      </c>
      <c r="AW16" s="1">
        <v>18.989999999999998</v>
      </c>
      <c r="AX16" s="3">
        <f t="shared" si="8"/>
        <v>0.28705047572972103</v>
      </c>
      <c r="AY16" s="1">
        <v>1</v>
      </c>
      <c r="AZ16" s="1">
        <v>62.01</v>
      </c>
      <c r="BA16" s="3">
        <f t="shared" si="9"/>
        <v>0.32187499999999997</v>
      </c>
      <c r="BB16" s="1">
        <v>2</v>
      </c>
      <c r="BC16" s="1">
        <v>96</v>
      </c>
      <c r="BD16" s="3">
        <f t="shared" si="10"/>
        <v>1.0757377049180328</v>
      </c>
      <c r="BE16" s="1">
        <v>1</v>
      </c>
      <c r="BF16" s="1">
        <v>61</v>
      </c>
      <c r="BG16" s="1"/>
      <c r="BH16" s="2">
        <f t="shared" si="11"/>
        <v>4.5709766230370095</v>
      </c>
      <c r="BI16" s="1">
        <f t="shared" si="12"/>
        <v>5.3754525508870943</v>
      </c>
      <c r="BJ16" s="2">
        <f t="shared" si="13"/>
        <v>-0.80447592785008482</v>
      </c>
      <c r="BK16" s="2">
        <f t="shared" si="14"/>
        <v>9.9464291739241038</v>
      </c>
      <c r="BL16" s="1">
        <f t="shared" si="15"/>
        <v>-8.0880878331605302E-2</v>
      </c>
      <c r="BM16" s="1">
        <f t="shared" si="16"/>
        <v>-8.0880878331605306</v>
      </c>
      <c r="BN16" s="1">
        <f t="shared" si="17"/>
        <v>0.3384841452954514</v>
      </c>
    </row>
    <row r="17" spans="2:66" x14ac:dyDescent="0.3">
      <c r="B17" s="8">
        <v>14</v>
      </c>
      <c r="C17" s="56"/>
      <c r="D17" s="10" t="s">
        <v>7</v>
      </c>
      <c r="E17" s="8" t="s">
        <v>6</v>
      </c>
      <c r="F17" s="8">
        <v>20.326795000000001</v>
      </c>
      <c r="G17" s="8">
        <v>85.835967999999994</v>
      </c>
      <c r="H17" s="9">
        <v>5.49</v>
      </c>
      <c r="I17" s="9">
        <v>785.59</v>
      </c>
      <c r="J17" s="8">
        <v>122</v>
      </c>
      <c r="K17" s="8">
        <v>179</v>
      </c>
      <c r="L17" s="6">
        <v>61.62</v>
      </c>
      <c r="M17" s="6">
        <v>8.7799999999999994</v>
      </c>
      <c r="N17" s="6">
        <v>71.8</v>
      </c>
      <c r="O17" s="6">
        <v>19.59</v>
      </c>
      <c r="P17" s="7">
        <v>0.27</v>
      </c>
      <c r="Q17" s="5">
        <v>238.22</v>
      </c>
      <c r="R17" s="8">
        <v>57.45</v>
      </c>
      <c r="S17" s="8">
        <v>22.72</v>
      </c>
      <c r="T17" s="8">
        <v>26.27</v>
      </c>
      <c r="U17" s="8">
        <v>0.03</v>
      </c>
      <c r="V17" s="8">
        <v>4.93</v>
      </c>
      <c r="W17" s="9">
        <f t="shared" si="18"/>
        <v>510.63350000000003</v>
      </c>
      <c r="X17" s="1">
        <f t="shared" si="0"/>
        <v>57.480000000000004</v>
      </c>
      <c r="Y17" s="2">
        <f t="shared" si="1"/>
        <v>453.15350000000001</v>
      </c>
      <c r="Z17" s="2"/>
      <c r="AA17" s="2">
        <f t="shared" si="19"/>
        <v>162.06</v>
      </c>
      <c r="AB17" s="2">
        <f t="shared" si="20"/>
        <v>344.68999999999994</v>
      </c>
      <c r="AC17" s="2">
        <f t="shared" si="21"/>
        <v>-182.62999999999994</v>
      </c>
      <c r="AD17" s="2">
        <f t="shared" si="22"/>
        <v>506.74999999999994</v>
      </c>
      <c r="AE17" s="2">
        <f t="shared" si="23"/>
        <v>-36.039467192895899</v>
      </c>
      <c r="AF17" s="4">
        <f t="shared" si="2"/>
        <v>3.081</v>
      </c>
      <c r="AG17" s="2">
        <v>2</v>
      </c>
      <c r="AH17" s="2">
        <v>40</v>
      </c>
      <c r="AI17" s="3">
        <f t="shared" si="3"/>
        <v>0.72263374485596699</v>
      </c>
      <c r="AJ17" s="1">
        <v>2</v>
      </c>
      <c r="AK17" s="1">
        <v>24.3</v>
      </c>
      <c r="AL17" s="3">
        <f t="shared" si="4"/>
        <v>3.1217391304347823</v>
      </c>
      <c r="AM17" s="1">
        <v>1</v>
      </c>
      <c r="AN17" s="1">
        <v>23</v>
      </c>
      <c r="AO17" s="3">
        <f t="shared" si="5"/>
        <v>0.50230769230769234</v>
      </c>
      <c r="AP17" s="1">
        <v>1</v>
      </c>
      <c r="AQ17" s="1">
        <v>39</v>
      </c>
      <c r="AR17" s="3">
        <f t="shared" si="6"/>
        <v>1.6183098591549296</v>
      </c>
      <c r="AS17" s="1">
        <v>1</v>
      </c>
      <c r="AT17" s="1">
        <v>35.5</v>
      </c>
      <c r="AU17" s="3">
        <f t="shared" si="7"/>
        <v>1.5797788309636651E-3</v>
      </c>
      <c r="AV17" s="1">
        <v>1</v>
      </c>
      <c r="AW17" s="1">
        <v>18.989999999999998</v>
      </c>
      <c r="AX17" s="3">
        <f t="shared" si="8"/>
        <v>0.42364134816965004</v>
      </c>
      <c r="AY17" s="1">
        <v>1</v>
      </c>
      <c r="AZ17" s="1">
        <v>62.01</v>
      </c>
      <c r="BA17" s="3">
        <f t="shared" si="9"/>
        <v>0.47333333333333333</v>
      </c>
      <c r="BB17" s="1">
        <v>2</v>
      </c>
      <c r="BC17" s="1">
        <v>96</v>
      </c>
      <c r="BD17" s="3">
        <f t="shared" si="10"/>
        <v>3.9052459016393444</v>
      </c>
      <c r="BE17" s="1">
        <v>1</v>
      </c>
      <c r="BF17" s="1">
        <v>61</v>
      </c>
      <c r="BG17" s="1"/>
      <c r="BH17" s="2">
        <f t="shared" si="11"/>
        <v>7.4276805675984416</v>
      </c>
      <c r="BI17" s="1">
        <f t="shared" si="12"/>
        <v>6.4221102211282215</v>
      </c>
      <c r="BJ17" s="2">
        <f t="shared" si="13"/>
        <v>1.0055703464702201</v>
      </c>
      <c r="BK17" s="2">
        <f t="shared" si="14"/>
        <v>13.849790788726663</v>
      </c>
      <c r="BL17" s="1">
        <f t="shared" si="15"/>
        <v>7.2605453888063484E-2</v>
      </c>
      <c r="BM17" s="1">
        <f t="shared" si="16"/>
        <v>7.2605453888063485</v>
      </c>
      <c r="BN17" s="1">
        <f t="shared" si="17"/>
        <v>1.9290119953078289</v>
      </c>
    </row>
    <row r="18" spans="2:66" x14ac:dyDescent="0.3">
      <c r="B18" s="8">
        <v>15</v>
      </c>
      <c r="C18" s="56"/>
      <c r="D18" s="10" t="s">
        <v>5</v>
      </c>
      <c r="E18" s="8" t="s">
        <v>4</v>
      </c>
      <c r="F18" s="8">
        <v>20.382315999999999</v>
      </c>
      <c r="G18" s="8">
        <v>85.795062999999999</v>
      </c>
      <c r="H18" s="9">
        <v>5.66</v>
      </c>
      <c r="I18" s="9">
        <v>637.62</v>
      </c>
      <c r="J18" s="8">
        <v>109</v>
      </c>
      <c r="K18" s="8">
        <v>274</v>
      </c>
      <c r="L18" s="6">
        <v>50.21</v>
      </c>
      <c r="M18" s="6">
        <v>12.05</v>
      </c>
      <c r="N18" s="6">
        <v>57.55</v>
      </c>
      <c r="O18" s="6">
        <v>19.7</v>
      </c>
      <c r="P18" s="7">
        <v>0.3</v>
      </c>
      <c r="Q18" s="5">
        <v>112.41</v>
      </c>
      <c r="R18" s="8">
        <v>92.65</v>
      </c>
      <c r="S18" s="8">
        <v>32.130000000000003</v>
      </c>
      <c r="T18" s="8">
        <v>7.34</v>
      </c>
      <c r="U18" s="8">
        <v>0.05</v>
      </c>
      <c r="V18" s="8">
        <v>4.8600000000000003</v>
      </c>
      <c r="W18" s="9">
        <f t="shared" si="18"/>
        <v>414.45300000000003</v>
      </c>
      <c r="X18" s="1">
        <f t="shared" si="0"/>
        <v>92.7</v>
      </c>
      <c r="Y18" s="2">
        <f t="shared" si="1"/>
        <v>321.75300000000004</v>
      </c>
      <c r="Z18" s="2"/>
      <c r="AA18" s="2">
        <f t="shared" si="19"/>
        <v>139.81</v>
      </c>
      <c r="AB18" s="2">
        <f t="shared" si="20"/>
        <v>244.58</v>
      </c>
      <c r="AC18" s="2">
        <f t="shared" si="21"/>
        <v>-104.77000000000001</v>
      </c>
      <c r="AD18" s="2">
        <f t="shared" si="22"/>
        <v>384.39</v>
      </c>
      <c r="AE18" s="2">
        <f t="shared" si="23"/>
        <v>-27.256172116860483</v>
      </c>
      <c r="AF18" s="4">
        <f t="shared" si="2"/>
        <v>2.5105</v>
      </c>
      <c r="AG18" s="2">
        <v>2</v>
      </c>
      <c r="AH18" s="2">
        <v>40</v>
      </c>
      <c r="AI18" s="3">
        <f t="shared" si="3"/>
        <v>0.99176954732510292</v>
      </c>
      <c r="AJ18" s="1">
        <v>2</v>
      </c>
      <c r="AK18" s="1">
        <v>24.3</v>
      </c>
      <c r="AL18" s="3">
        <f t="shared" si="4"/>
        <v>2.5021739130434781</v>
      </c>
      <c r="AM18" s="1">
        <v>1</v>
      </c>
      <c r="AN18" s="1">
        <v>23</v>
      </c>
      <c r="AO18" s="3">
        <f t="shared" si="5"/>
        <v>0.50512820512820511</v>
      </c>
      <c r="AP18" s="1">
        <v>1</v>
      </c>
      <c r="AQ18" s="1">
        <v>39</v>
      </c>
      <c r="AR18" s="3">
        <f t="shared" si="6"/>
        <v>2.6098591549295778</v>
      </c>
      <c r="AS18" s="1">
        <v>1</v>
      </c>
      <c r="AT18" s="1">
        <v>35.5</v>
      </c>
      <c r="AU18" s="3">
        <f t="shared" si="7"/>
        <v>2.6329647182727757E-3</v>
      </c>
      <c r="AV18" s="1">
        <v>1</v>
      </c>
      <c r="AW18" s="1">
        <v>18.989999999999998</v>
      </c>
      <c r="AX18" s="3">
        <f t="shared" si="8"/>
        <v>0.11836800516045799</v>
      </c>
      <c r="AY18" s="1">
        <v>1</v>
      </c>
      <c r="AZ18" s="1">
        <v>62.01</v>
      </c>
      <c r="BA18" s="3">
        <f t="shared" si="9"/>
        <v>0.66937500000000005</v>
      </c>
      <c r="BB18" s="1">
        <v>2</v>
      </c>
      <c r="BC18" s="1">
        <v>96</v>
      </c>
      <c r="BD18" s="3">
        <f t="shared" si="10"/>
        <v>1.8427868852459015</v>
      </c>
      <c r="BE18" s="1">
        <v>1</v>
      </c>
      <c r="BF18" s="1">
        <v>61</v>
      </c>
      <c r="BG18" s="1"/>
      <c r="BH18" s="2">
        <f t="shared" si="11"/>
        <v>6.5095716654967859</v>
      </c>
      <c r="BI18" s="1">
        <f t="shared" si="12"/>
        <v>5.2430220100542098</v>
      </c>
      <c r="BJ18" s="2">
        <f t="shared" si="13"/>
        <v>1.2665496554425761</v>
      </c>
      <c r="BK18" s="2">
        <f t="shared" si="14"/>
        <v>11.752593675550996</v>
      </c>
      <c r="BL18" s="1">
        <f t="shared" si="15"/>
        <v>0.1077676715802222</v>
      </c>
      <c r="BM18" s="1">
        <f t="shared" si="16"/>
        <v>10.776767158022221</v>
      </c>
      <c r="BN18" s="1">
        <f t="shared" si="17"/>
        <v>0.9587390600436424</v>
      </c>
    </row>
    <row r="22" spans="2:66" x14ac:dyDescent="0.3">
      <c r="BJ22" t="s">
        <v>3</v>
      </c>
      <c r="BK22" t="s">
        <v>2</v>
      </c>
    </row>
    <row r="23" spans="2:66" ht="21" customHeight="1" x14ac:dyDescent="0.3">
      <c r="BJ23" t="s">
        <v>1</v>
      </c>
      <c r="BK23" t="s">
        <v>0</v>
      </c>
    </row>
  </sheetData>
  <mergeCells count="3">
    <mergeCell ref="C4:C8"/>
    <mergeCell ref="C9:C13"/>
    <mergeCell ref="C14:C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CD76-944E-4159-BEA6-95AE82E4EBBF}">
  <dimension ref="A1:BM23"/>
  <sheetViews>
    <sheetView zoomScaleNormal="100" workbookViewId="0">
      <selection activeCell="L4" sqref="L4"/>
    </sheetView>
  </sheetViews>
  <sheetFormatPr defaultRowHeight="14.4" x14ac:dyDescent="0.3"/>
  <cols>
    <col min="3" max="3" width="16.33203125" bestFit="1" customWidth="1"/>
    <col min="4" max="4" width="21" bestFit="1" customWidth="1"/>
    <col min="5" max="5" width="11" bestFit="1" customWidth="1"/>
    <col min="6" max="6" width="14.88671875" customWidth="1"/>
    <col min="7" max="7" width="14.44140625" customWidth="1"/>
    <col min="9" max="9" width="20.109375" customWidth="1"/>
    <col min="10" max="10" width="16.6640625" customWidth="1"/>
    <col min="11" max="11" width="15.5546875" customWidth="1"/>
    <col min="12" max="14" width="9.5546875" customWidth="1"/>
    <col min="15" max="15" width="9" bestFit="1" customWidth="1"/>
    <col min="16" max="16" width="10.6640625" customWidth="1"/>
    <col min="17" max="17" width="10.5546875" bestFit="1" customWidth="1"/>
    <col min="18" max="18" width="15.6640625" customWidth="1"/>
    <col min="19" max="19" width="14.5546875" customWidth="1"/>
    <col min="20" max="20" width="12.88671875" customWidth="1"/>
    <col min="21" max="21" width="14.21875" customWidth="1"/>
    <col min="22" max="22" width="11" hidden="1" customWidth="1"/>
    <col min="23" max="23" width="11.77734375" hidden="1" customWidth="1"/>
    <col min="24" max="24" width="0" hidden="1" customWidth="1"/>
    <col min="25" max="25" width="11.44140625" hidden="1" customWidth="1"/>
    <col min="26" max="29" width="0" hidden="1" customWidth="1"/>
    <col min="30" max="30" width="10.6640625" hidden="1" customWidth="1"/>
    <col min="31" max="31" width="21.77734375" hidden="1" customWidth="1"/>
    <col min="32" max="65" width="0" hidden="1" customWidth="1"/>
  </cols>
  <sheetData>
    <row r="1" spans="1:65" x14ac:dyDescent="0.3"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3</v>
      </c>
      <c r="W1">
        <v>7</v>
      </c>
    </row>
    <row r="2" spans="1:65" ht="15.6" x14ac:dyDescent="0.3">
      <c r="B2" s="30" t="s">
        <v>70</v>
      </c>
      <c r="C2" s="30" t="s">
        <v>69</v>
      </c>
      <c r="D2" s="27" t="s">
        <v>68</v>
      </c>
      <c r="E2" s="29" t="s">
        <v>67</v>
      </c>
      <c r="F2" s="27" t="s">
        <v>66</v>
      </c>
      <c r="G2" s="27" t="s">
        <v>65</v>
      </c>
      <c r="H2" s="27" t="s">
        <v>64</v>
      </c>
      <c r="I2" s="27" t="s">
        <v>63</v>
      </c>
      <c r="J2" s="27" t="s">
        <v>60</v>
      </c>
      <c r="K2" s="27" t="s">
        <v>61</v>
      </c>
      <c r="L2" s="27" t="s">
        <v>57</v>
      </c>
      <c r="M2" s="27" t="s">
        <v>56</v>
      </c>
      <c r="N2" s="27" t="s">
        <v>55</v>
      </c>
      <c r="O2" s="27" t="s">
        <v>54</v>
      </c>
      <c r="P2" s="27" t="s">
        <v>58</v>
      </c>
      <c r="Q2" s="27" t="s">
        <v>49</v>
      </c>
      <c r="R2" s="27" t="s">
        <v>53</v>
      </c>
      <c r="S2" s="27" t="s">
        <v>50</v>
      </c>
      <c r="T2" s="27" t="s">
        <v>51</v>
      </c>
      <c r="U2" s="27" t="s">
        <v>52</v>
      </c>
      <c r="V2" s="27" t="s">
        <v>62</v>
      </c>
      <c r="W2" s="27" t="s">
        <v>59</v>
      </c>
      <c r="Z2" s="28"/>
      <c r="AF2" s="27" t="s">
        <v>57</v>
      </c>
      <c r="AG2" s="27"/>
      <c r="AH2" s="27"/>
      <c r="AI2" s="27" t="s">
        <v>56</v>
      </c>
      <c r="AJ2" s="27"/>
      <c r="AK2" s="27"/>
      <c r="AL2" s="27" t="s">
        <v>55</v>
      </c>
      <c r="AM2" s="27"/>
      <c r="AN2" s="27"/>
      <c r="AO2" s="27" t="s">
        <v>54</v>
      </c>
      <c r="AR2" s="27" t="s">
        <v>53</v>
      </c>
      <c r="AS2" s="27"/>
      <c r="AT2" s="27"/>
      <c r="AU2" s="27" t="s">
        <v>52</v>
      </c>
      <c r="AV2" s="27"/>
      <c r="AW2" s="27"/>
      <c r="AX2" s="27" t="s">
        <v>51</v>
      </c>
      <c r="AY2" s="27"/>
      <c r="AZ2" s="27"/>
      <c r="BA2" s="27" t="s">
        <v>50</v>
      </c>
      <c r="BB2" s="27"/>
      <c r="BC2" s="27"/>
      <c r="BD2" s="27" t="s">
        <v>49</v>
      </c>
      <c r="BH2" s="25" t="s">
        <v>3</v>
      </c>
      <c r="BI2" s="25" t="s">
        <v>1</v>
      </c>
      <c r="BJ2" s="26" t="s">
        <v>48</v>
      </c>
      <c r="BK2" s="26" t="s">
        <v>47</v>
      </c>
      <c r="BL2" s="26" t="s">
        <v>46</v>
      </c>
      <c r="BM2" s="26" t="s">
        <v>45</v>
      </c>
    </row>
    <row r="3" spans="1:65" ht="28.8" x14ac:dyDescent="0.3">
      <c r="B3" s="30"/>
      <c r="C3" s="30"/>
      <c r="D3" s="27"/>
      <c r="E3" s="32"/>
      <c r="F3" s="27"/>
      <c r="G3" s="27"/>
      <c r="H3" s="27"/>
      <c r="I3" s="33" t="s">
        <v>43</v>
      </c>
      <c r="J3" s="33" t="s">
        <v>42</v>
      </c>
      <c r="K3" s="33" t="s">
        <v>42</v>
      </c>
      <c r="L3" s="34" t="s">
        <v>41</v>
      </c>
      <c r="M3" s="34" t="s">
        <v>41</v>
      </c>
      <c r="N3" s="34" t="s">
        <v>41</v>
      </c>
      <c r="O3" s="34" t="s">
        <v>41</v>
      </c>
      <c r="P3" s="34" t="s">
        <v>41</v>
      </c>
      <c r="Q3" s="34" t="s">
        <v>41</v>
      </c>
      <c r="R3" s="33" t="s">
        <v>41</v>
      </c>
      <c r="S3" s="34" t="s">
        <v>41</v>
      </c>
      <c r="T3" s="33" t="s">
        <v>41</v>
      </c>
      <c r="U3" s="33" t="s">
        <v>41</v>
      </c>
      <c r="V3" s="33" t="s">
        <v>42</v>
      </c>
      <c r="W3" s="33" t="s">
        <v>42</v>
      </c>
      <c r="X3" s="35" t="s">
        <v>40</v>
      </c>
      <c r="Y3" s="35" t="s">
        <v>39</v>
      </c>
      <c r="Z3" s="35"/>
      <c r="AA3" s="36"/>
      <c r="AB3" s="36"/>
      <c r="AC3" s="37"/>
      <c r="AD3" s="37"/>
      <c r="AE3" s="31"/>
      <c r="AG3" t="s">
        <v>38</v>
      </c>
      <c r="AH3" s="38" t="s">
        <v>37</v>
      </c>
      <c r="AJ3" t="s">
        <v>38</v>
      </c>
      <c r="AK3" s="38" t="s">
        <v>37</v>
      </c>
      <c r="AM3" t="s">
        <v>38</v>
      </c>
      <c r="AN3" s="38" t="s">
        <v>37</v>
      </c>
      <c r="AP3" t="s">
        <v>38</v>
      </c>
      <c r="AQ3" s="38" t="s">
        <v>37</v>
      </c>
      <c r="AS3" t="s">
        <v>38</v>
      </c>
      <c r="AT3" s="38" t="s">
        <v>37</v>
      </c>
      <c r="AV3" t="s">
        <v>38</v>
      </c>
      <c r="AW3" s="38" t="s">
        <v>37</v>
      </c>
      <c r="AY3" t="s">
        <v>38</v>
      </c>
      <c r="AZ3" s="38" t="s">
        <v>37</v>
      </c>
      <c r="BB3" t="s">
        <v>38</v>
      </c>
      <c r="BC3" s="38" t="s">
        <v>37</v>
      </c>
      <c r="BE3" t="s">
        <v>38</v>
      </c>
      <c r="BF3" s="38" t="s">
        <v>37</v>
      </c>
    </row>
    <row r="4" spans="1:65" x14ac:dyDescent="0.3">
      <c r="A4" s="1"/>
      <c r="B4" s="8">
        <v>1</v>
      </c>
      <c r="C4" s="56" t="s">
        <v>36</v>
      </c>
      <c r="D4" s="10" t="s">
        <v>35</v>
      </c>
      <c r="E4" s="14" t="s">
        <v>34</v>
      </c>
      <c r="F4" s="8">
        <v>20.303531</v>
      </c>
      <c r="G4" s="8">
        <v>85.826217</v>
      </c>
      <c r="H4" s="9">
        <v>5.23</v>
      </c>
      <c r="I4" s="9">
        <v>453.03</v>
      </c>
      <c r="J4" s="8">
        <v>50</v>
      </c>
      <c r="K4" s="8">
        <v>221</v>
      </c>
      <c r="L4" s="6">
        <v>35.75</v>
      </c>
      <c r="M4" s="6">
        <v>2.86</v>
      </c>
      <c r="N4" s="6">
        <v>29.51</v>
      </c>
      <c r="O4" s="6">
        <v>8.33</v>
      </c>
      <c r="P4" s="50">
        <v>0.28000000000000003</v>
      </c>
      <c r="Q4" s="6">
        <v>98.58</v>
      </c>
      <c r="R4" s="9">
        <v>37.22</v>
      </c>
      <c r="S4" s="9">
        <v>22.86</v>
      </c>
      <c r="T4" s="9">
        <v>51.94</v>
      </c>
      <c r="U4" s="9">
        <v>0.15</v>
      </c>
      <c r="V4" s="9">
        <v>5.13</v>
      </c>
      <c r="W4" s="9">
        <f t="shared" ref="W4:W18" si="0">I4*0.65</f>
        <v>294.46949999999998</v>
      </c>
      <c r="X4" s="1">
        <f t="shared" ref="X4:X18" si="1">SUM(U4:U4)+R4</f>
        <v>37.369999999999997</v>
      </c>
      <c r="Y4" s="2">
        <f t="shared" ref="Y4:Y18" si="2">W4-X4</f>
        <v>257.09949999999998</v>
      </c>
      <c r="Z4" s="2"/>
      <c r="AA4" s="2"/>
      <c r="AB4" s="2"/>
      <c r="AC4" s="2"/>
      <c r="AD4" s="2"/>
      <c r="AE4" s="2"/>
      <c r="AF4" s="4">
        <f t="shared" ref="AF4:AF18" si="3">(L4*AG4)/AH4</f>
        <v>1.7875000000000001</v>
      </c>
      <c r="AG4" s="2">
        <v>2</v>
      </c>
      <c r="AH4" s="2">
        <v>40</v>
      </c>
      <c r="AI4" s="3">
        <f t="shared" ref="AI4:AI18" si="4">(M4*AJ4)/AK4</f>
        <v>0.23539094650205761</v>
      </c>
      <c r="AJ4" s="1">
        <v>2</v>
      </c>
      <c r="AK4" s="1">
        <v>24.3</v>
      </c>
      <c r="AL4" s="3">
        <f t="shared" ref="AL4:AL18" si="5">N4*AM4/AN4</f>
        <v>1.2830434782608697</v>
      </c>
      <c r="AM4" s="1">
        <v>1</v>
      </c>
      <c r="AN4" s="1">
        <v>23</v>
      </c>
      <c r="AO4" s="3">
        <f t="shared" ref="AO4:AO18" si="6">O4*AP4/AQ4</f>
        <v>0.21358974358974359</v>
      </c>
      <c r="AP4" s="1">
        <v>1</v>
      </c>
      <c r="AQ4" s="1">
        <v>39</v>
      </c>
      <c r="AR4" s="3">
        <f t="shared" ref="AR4:AR18" si="7">R4*AS4/AT4</f>
        <v>1.0484507042253521</v>
      </c>
      <c r="AS4" s="1">
        <v>1</v>
      </c>
      <c r="AT4" s="1">
        <v>35.5</v>
      </c>
      <c r="AU4" s="3">
        <f t="shared" ref="AU4:AU18" si="8">U4*AV4/AW4</f>
        <v>7.8988941548183266E-3</v>
      </c>
      <c r="AV4" s="1">
        <v>1</v>
      </c>
      <c r="AW4" s="1">
        <v>18.989999999999998</v>
      </c>
      <c r="AX4" s="3">
        <f t="shared" ref="AX4:AX18" si="9">T4*AY4/AZ4</f>
        <v>0.83760683760683763</v>
      </c>
      <c r="AY4" s="1">
        <v>1</v>
      </c>
      <c r="AZ4" s="1">
        <v>62.01</v>
      </c>
      <c r="BA4" s="3">
        <f t="shared" ref="BA4:BA18" si="10">S4*BB4/BC4</f>
        <v>0.47625000000000001</v>
      </c>
      <c r="BB4" s="1">
        <v>2</v>
      </c>
      <c r="BC4" s="1">
        <v>96</v>
      </c>
      <c r="BD4" s="3">
        <f t="shared" ref="BD4:BD18" si="11">Q4*BE4/BF4</f>
        <v>1.6160655737704919</v>
      </c>
      <c r="BE4" s="1">
        <v>1</v>
      </c>
      <c r="BF4" s="1">
        <v>61</v>
      </c>
      <c r="BG4" s="1"/>
      <c r="BH4" s="2">
        <f>AF4+AI4+AL4+AO4</f>
        <v>3.519524168352671</v>
      </c>
      <c r="BI4" s="1">
        <f>AR4+AU4+AX4+BA4+BD4</f>
        <v>3.9862720097574997</v>
      </c>
      <c r="BJ4" s="2">
        <f>BH4-BI4</f>
        <v>-0.46674784140482872</v>
      </c>
      <c r="BK4" s="2">
        <f>BH4+BI4</f>
        <v>7.5057961781101703</v>
      </c>
      <c r="BL4" s="1">
        <f>BJ4/BK4</f>
        <v>-6.2184987485544505E-2</v>
      </c>
      <c r="BM4" s="1">
        <f>BL4*100</f>
        <v>-6.2184987485544507</v>
      </c>
    </row>
    <row r="5" spans="1:65" s="13" customFormat="1" x14ac:dyDescent="0.3">
      <c r="A5" s="1"/>
      <c r="B5" s="8">
        <v>2</v>
      </c>
      <c r="C5" s="56"/>
      <c r="D5" s="10" t="s">
        <v>33</v>
      </c>
      <c r="E5" s="12" t="s">
        <v>32</v>
      </c>
      <c r="F5" s="8">
        <v>20.278196999999999</v>
      </c>
      <c r="G5" s="8">
        <v>85.840283999999997</v>
      </c>
      <c r="H5" s="9">
        <v>6.35</v>
      </c>
      <c r="I5" s="9">
        <v>375.09</v>
      </c>
      <c r="J5" s="8">
        <v>74</v>
      </c>
      <c r="K5" s="8">
        <v>170</v>
      </c>
      <c r="L5" s="6">
        <v>20.98</v>
      </c>
      <c r="M5" s="6">
        <v>15.37</v>
      </c>
      <c r="N5" s="6">
        <v>10.64</v>
      </c>
      <c r="O5" s="6">
        <v>3.43</v>
      </c>
      <c r="P5" s="50">
        <v>0.25</v>
      </c>
      <c r="Q5" s="6">
        <v>87.12</v>
      </c>
      <c r="R5" s="9">
        <v>42.18</v>
      </c>
      <c r="S5" s="9">
        <v>12.78</v>
      </c>
      <c r="T5" s="9">
        <v>26.41</v>
      </c>
      <c r="U5" s="9">
        <v>0.16</v>
      </c>
      <c r="V5" s="9">
        <v>6.02</v>
      </c>
      <c r="W5" s="9">
        <f t="shared" si="0"/>
        <v>243.80849999999998</v>
      </c>
      <c r="X5" s="1">
        <f t="shared" si="1"/>
        <v>42.339999999999996</v>
      </c>
      <c r="Y5" s="2">
        <f t="shared" si="2"/>
        <v>201.46849999999998</v>
      </c>
      <c r="Z5" s="2"/>
      <c r="AA5" s="2">
        <f t="shared" ref="AA5:AA18" si="12">O5+N5+M5+L5+P5</f>
        <v>50.67</v>
      </c>
      <c r="AB5" s="2">
        <f t="shared" ref="AB5:AB18" si="13">Q5+S5+T5+U5+R5</f>
        <v>168.65</v>
      </c>
      <c r="AC5" s="2">
        <f t="shared" ref="AC5:AC18" si="14">AA5-AB5</f>
        <v>-117.98</v>
      </c>
      <c r="AD5" s="2">
        <f t="shared" ref="AD5:AD18" si="15">AA5+AB5</f>
        <v>219.32</v>
      </c>
      <c r="AE5" s="2">
        <f t="shared" ref="AE5:AE18" si="16">(AC5/AD5)*100</f>
        <v>-53.793543680466904</v>
      </c>
      <c r="AF5" s="4">
        <f t="shared" si="3"/>
        <v>1.0489999999999999</v>
      </c>
      <c r="AG5" s="2">
        <v>2</v>
      </c>
      <c r="AH5" s="2">
        <v>40</v>
      </c>
      <c r="AI5" s="3">
        <f t="shared" si="4"/>
        <v>1.2650205761316871</v>
      </c>
      <c r="AJ5" s="1">
        <v>2</v>
      </c>
      <c r="AK5" s="1">
        <v>24.3</v>
      </c>
      <c r="AL5" s="3">
        <f t="shared" si="5"/>
        <v>0.46260869565217394</v>
      </c>
      <c r="AM5" s="1">
        <v>1</v>
      </c>
      <c r="AN5" s="1">
        <v>23</v>
      </c>
      <c r="AO5" s="3">
        <f t="shared" si="6"/>
        <v>8.7948717948717947E-2</v>
      </c>
      <c r="AP5" s="1">
        <v>1</v>
      </c>
      <c r="AQ5" s="1">
        <v>39</v>
      </c>
      <c r="AR5" s="3">
        <f t="shared" si="7"/>
        <v>1.1881690140845069</v>
      </c>
      <c r="AS5" s="1">
        <v>1</v>
      </c>
      <c r="AT5" s="1">
        <v>35.5</v>
      </c>
      <c r="AU5" s="3">
        <f t="shared" si="8"/>
        <v>8.4254870984728815E-3</v>
      </c>
      <c r="AV5" s="1">
        <v>1</v>
      </c>
      <c r="AW5" s="1">
        <v>18.989999999999998</v>
      </c>
      <c r="AX5" s="3">
        <f t="shared" si="9"/>
        <v>0.42589904854055799</v>
      </c>
      <c r="AY5" s="1">
        <v>1</v>
      </c>
      <c r="AZ5" s="1">
        <v>62.01</v>
      </c>
      <c r="BA5" s="3">
        <f t="shared" si="10"/>
        <v>0.26624999999999999</v>
      </c>
      <c r="BB5" s="1">
        <v>2</v>
      </c>
      <c r="BC5" s="1">
        <v>96</v>
      </c>
      <c r="BD5" s="3">
        <f t="shared" si="11"/>
        <v>1.4281967213114755</v>
      </c>
      <c r="BE5" s="1">
        <v>1</v>
      </c>
      <c r="BF5" s="1">
        <v>61</v>
      </c>
      <c r="BG5" s="1"/>
      <c r="BH5" s="2">
        <f t="shared" ref="BH5:BH18" si="17">AF5+AI5+AL5+AO5</f>
        <v>2.8645779897325792</v>
      </c>
      <c r="BI5" s="1">
        <f t="shared" ref="BI5:BI18" si="18">AR5+AU5+AX5+BA5+BD5</f>
        <v>3.3169402710350129</v>
      </c>
      <c r="BJ5" s="2">
        <f t="shared" ref="BJ5:BJ18" si="19">BH5-BI5</f>
        <v>-0.45236228130243372</v>
      </c>
      <c r="BK5" s="2">
        <f t="shared" ref="BK5:BK18" si="20">BH5+BI5</f>
        <v>6.181518260767592</v>
      </c>
      <c r="BL5" s="1">
        <f t="shared" ref="BL5:BL18" si="21">BJ5/BK5</f>
        <v>-7.3179801825298096E-2</v>
      </c>
      <c r="BM5" s="1">
        <f t="shared" ref="BM5:BM18" si="22">BL5*100</f>
        <v>-7.3179801825298094</v>
      </c>
    </row>
    <row r="6" spans="1:65" s="51" customFormat="1" x14ac:dyDescent="0.3">
      <c r="A6" s="1"/>
      <c r="B6" s="8">
        <v>3</v>
      </c>
      <c r="C6" s="56"/>
      <c r="D6" s="10" t="s">
        <v>31</v>
      </c>
      <c r="E6" s="12" t="s">
        <v>30</v>
      </c>
      <c r="F6" s="8">
        <v>20.337294</v>
      </c>
      <c r="G6" s="8">
        <v>85.810480999999996</v>
      </c>
      <c r="H6" s="9">
        <v>6.26</v>
      </c>
      <c r="I6" s="9">
        <v>330.33</v>
      </c>
      <c r="J6" s="8">
        <v>46</v>
      </c>
      <c r="K6" s="8">
        <v>126</v>
      </c>
      <c r="L6" s="6">
        <v>17.11</v>
      </c>
      <c r="M6" s="6">
        <v>16.66</v>
      </c>
      <c r="N6" s="6">
        <v>19.77</v>
      </c>
      <c r="O6" s="6">
        <v>3.3</v>
      </c>
      <c r="P6" s="50">
        <v>0.45</v>
      </c>
      <c r="Q6" s="6">
        <v>58.25</v>
      </c>
      <c r="R6" s="9">
        <v>57.52</v>
      </c>
      <c r="S6" s="9">
        <v>7.86</v>
      </c>
      <c r="T6" s="9">
        <v>17.940000000000001</v>
      </c>
      <c r="U6" s="9">
        <v>0.19</v>
      </c>
      <c r="V6" s="9">
        <v>6.73</v>
      </c>
      <c r="W6" s="9">
        <f t="shared" si="0"/>
        <v>214.71449999999999</v>
      </c>
      <c r="X6" s="1">
        <f t="shared" si="1"/>
        <v>57.71</v>
      </c>
      <c r="Y6" s="2">
        <f t="shared" si="2"/>
        <v>157.00449999999998</v>
      </c>
      <c r="Z6" s="2"/>
      <c r="AA6" s="2">
        <f t="shared" si="12"/>
        <v>57.290000000000006</v>
      </c>
      <c r="AB6" s="2">
        <f t="shared" si="13"/>
        <v>141.76</v>
      </c>
      <c r="AC6" s="2">
        <f t="shared" si="14"/>
        <v>-84.469999999999985</v>
      </c>
      <c r="AD6" s="2">
        <f t="shared" si="15"/>
        <v>199.05</v>
      </c>
      <c r="AE6" s="2">
        <f t="shared" si="16"/>
        <v>-42.436573725194663</v>
      </c>
      <c r="AF6" s="4">
        <f t="shared" si="3"/>
        <v>0.85549999999999993</v>
      </c>
      <c r="AG6" s="2">
        <v>2</v>
      </c>
      <c r="AH6" s="2">
        <v>40</v>
      </c>
      <c r="AI6" s="3">
        <f t="shared" si="4"/>
        <v>1.37119341563786</v>
      </c>
      <c r="AJ6" s="1">
        <v>2</v>
      </c>
      <c r="AK6" s="1">
        <v>24.3</v>
      </c>
      <c r="AL6" s="3">
        <f t="shared" si="5"/>
        <v>0.85956521739130431</v>
      </c>
      <c r="AM6" s="1">
        <v>1</v>
      </c>
      <c r="AN6" s="1">
        <v>23</v>
      </c>
      <c r="AO6" s="3">
        <f t="shared" si="6"/>
        <v>8.4615384615384606E-2</v>
      </c>
      <c r="AP6" s="1">
        <v>1</v>
      </c>
      <c r="AQ6" s="1">
        <v>39</v>
      </c>
      <c r="AR6" s="3">
        <f t="shared" si="7"/>
        <v>1.6202816901408452</v>
      </c>
      <c r="AS6" s="1">
        <v>1</v>
      </c>
      <c r="AT6" s="1">
        <v>35.5</v>
      </c>
      <c r="AU6" s="3">
        <f t="shared" si="8"/>
        <v>1.0005265929436546E-2</v>
      </c>
      <c r="AV6" s="1">
        <v>1</v>
      </c>
      <c r="AW6" s="1">
        <v>18.989999999999998</v>
      </c>
      <c r="AX6" s="3">
        <f t="shared" si="9"/>
        <v>0.28930817610062898</v>
      </c>
      <c r="AY6" s="1">
        <v>1</v>
      </c>
      <c r="AZ6" s="1">
        <v>62.01</v>
      </c>
      <c r="BA6" s="3">
        <f t="shared" si="10"/>
        <v>0.16375000000000001</v>
      </c>
      <c r="BB6" s="1">
        <v>2</v>
      </c>
      <c r="BC6" s="1">
        <v>96</v>
      </c>
      <c r="BD6" s="3">
        <f t="shared" si="11"/>
        <v>0.95491803278688525</v>
      </c>
      <c r="BE6" s="1">
        <v>1</v>
      </c>
      <c r="BF6" s="1">
        <v>61</v>
      </c>
      <c r="BG6" s="1"/>
      <c r="BH6" s="2">
        <f t="shared" si="17"/>
        <v>3.1708740176445493</v>
      </c>
      <c r="BI6" s="1">
        <f t="shared" si="18"/>
        <v>3.038263164957796</v>
      </c>
      <c r="BJ6" s="2">
        <f t="shared" si="19"/>
        <v>0.13261085268675332</v>
      </c>
      <c r="BK6" s="2">
        <f t="shared" si="20"/>
        <v>6.2091371826023458</v>
      </c>
      <c r="BL6" s="1">
        <f t="shared" si="21"/>
        <v>2.1357372012704358E-2</v>
      </c>
      <c r="BM6" s="1">
        <f t="shared" si="22"/>
        <v>2.1357372012704356</v>
      </c>
    </row>
    <row r="7" spans="1:65" x14ac:dyDescent="0.3">
      <c r="A7" s="1"/>
      <c r="B7" s="8">
        <v>4</v>
      </c>
      <c r="C7" s="56"/>
      <c r="D7" s="10" t="s">
        <v>29</v>
      </c>
      <c r="E7" s="14" t="s">
        <v>28</v>
      </c>
      <c r="F7" s="8">
        <v>20.323146999999999</v>
      </c>
      <c r="G7" s="8">
        <v>85.823089999999993</v>
      </c>
      <c r="H7" s="9">
        <v>6.19</v>
      </c>
      <c r="I7" s="9">
        <v>325.67</v>
      </c>
      <c r="J7" s="8">
        <v>48</v>
      </c>
      <c r="K7" s="8">
        <v>74</v>
      </c>
      <c r="L7" s="6">
        <v>12.08</v>
      </c>
      <c r="M7" s="6">
        <v>7.18</v>
      </c>
      <c r="N7" s="6">
        <v>27.96</v>
      </c>
      <c r="O7" s="6">
        <v>7.42</v>
      </c>
      <c r="P7" s="50">
        <v>0.26</v>
      </c>
      <c r="Q7" s="6">
        <v>15.75</v>
      </c>
      <c r="R7" s="9">
        <v>50.23</v>
      </c>
      <c r="S7" s="9">
        <v>27.84</v>
      </c>
      <c r="T7" s="9">
        <v>53.33</v>
      </c>
      <c r="U7" s="9">
        <v>0.09</v>
      </c>
      <c r="V7" s="9">
        <v>5.45</v>
      </c>
      <c r="W7" s="9">
        <f t="shared" si="0"/>
        <v>211.68550000000002</v>
      </c>
      <c r="X7" s="1">
        <f t="shared" si="1"/>
        <v>50.32</v>
      </c>
      <c r="Y7" s="2">
        <f t="shared" si="2"/>
        <v>161.36550000000003</v>
      </c>
      <c r="Z7" s="2"/>
      <c r="AA7" s="2">
        <f t="shared" si="12"/>
        <v>54.9</v>
      </c>
      <c r="AB7" s="2">
        <f t="shared" si="13"/>
        <v>147.24</v>
      </c>
      <c r="AC7" s="2">
        <f t="shared" si="14"/>
        <v>-92.34</v>
      </c>
      <c r="AD7" s="2">
        <f t="shared" si="15"/>
        <v>202.14000000000001</v>
      </c>
      <c r="AE7" s="2">
        <f t="shared" si="16"/>
        <v>-45.68121104185218</v>
      </c>
      <c r="AF7" s="4">
        <f t="shared" si="3"/>
        <v>0.60399999999999998</v>
      </c>
      <c r="AG7" s="2">
        <v>2</v>
      </c>
      <c r="AH7" s="2">
        <v>40</v>
      </c>
      <c r="AI7" s="3">
        <f t="shared" si="4"/>
        <v>0.59094650205761312</v>
      </c>
      <c r="AJ7" s="1">
        <v>2</v>
      </c>
      <c r="AK7" s="1">
        <v>24.3</v>
      </c>
      <c r="AL7" s="3">
        <f t="shared" si="5"/>
        <v>1.2156521739130435</v>
      </c>
      <c r="AM7" s="1">
        <v>1</v>
      </c>
      <c r="AN7" s="1">
        <v>23</v>
      </c>
      <c r="AO7" s="3">
        <f t="shared" si="6"/>
        <v>0.19025641025641024</v>
      </c>
      <c r="AP7" s="1">
        <v>1</v>
      </c>
      <c r="AQ7" s="1">
        <v>39</v>
      </c>
      <c r="AR7" s="3">
        <f t="shared" si="7"/>
        <v>1.4149295774647885</v>
      </c>
      <c r="AS7" s="1">
        <v>1</v>
      </c>
      <c r="AT7" s="1">
        <v>35.5</v>
      </c>
      <c r="AU7" s="3">
        <f t="shared" si="8"/>
        <v>4.7393364928909956E-3</v>
      </c>
      <c r="AV7" s="1">
        <v>1</v>
      </c>
      <c r="AW7" s="1">
        <v>18.989999999999998</v>
      </c>
      <c r="AX7" s="3">
        <f t="shared" si="9"/>
        <v>0.8600225770037091</v>
      </c>
      <c r="AY7" s="1">
        <v>1</v>
      </c>
      <c r="AZ7" s="1">
        <v>62.01</v>
      </c>
      <c r="BA7" s="3">
        <f t="shared" si="10"/>
        <v>0.57999999999999996</v>
      </c>
      <c r="BB7" s="1">
        <v>2</v>
      </c>
      <c r="BC7" s="1">
        <v>96</v>
      </c>
      <c r="BD7" s="3">
        <f t="shared" si="11"/>
        <v>0.25819672131147542</v>
      </c>
      <c r="BE7" s="1">
        <v>1</v>
      </c>
      <c r="BF7" s="1">
        <v>61</v>
      </c>
      <c r="BG7" s="1"/>
      <c r="BH7" s="2">
        <f t="shared" si="17"/>
        <v>2.600855086227067</v>
      </c>
      <c r="BI7" s="1">
        <f t="shared" si="18"/>
        <v>3.1178882122728639</v>
      </c>
      <c r="BJ7" s="2">
        <f t="shared" si="19"/>
        <v>-0.51703312604579699</v>
      </c>
      <c r="BK7" s="2">
        <f t="shared" si="20"/>
        <v>5.7187432984999305</v>
      </c>
      <c r="BL7" s="1">
        <f t="shared" si="21"/>
        <v>-9.0410270064302189E-2</v>
      </c>
      <c r="BM7" s="1">
        <f t="shared" si="22"/>
        <v>-9.0410270064302196</v>
      </c>
    </row>
    <row r="8" spans="1:65" s="1" customFormat="1" x14ac:dyDescent="0.3">
      <c r="B8" s="8">
        <v>5</v>
      </c>
      <c r="C8" s="56"/>
      <c r="D8" s="10" t="s">
        <v>27</v>
      </c>
      <c r="E8" s="12" t="s">
        <v>26</v>
      </c>
      <c r="F8" s="8">
        <v>20.228014999999999</v>
      </c>
      <c r="G8" s="8">
        <v>85.833273000000005</v>
      </c>
      <c r="H8" s="9">
        <v>5.14</v>
      </c>
      <c r="I8" s="9">
        <v>476.06</v>
      </c>
      <c r="J8" s="8">
        <v>28</v>
      </c>
      <c r="K8" s="8">
        <v>210</v>
      </c>
      <c r="L8" s="6">
        <v>64.62</v>
      </c>
      <c r="M8" s="6">
        <v>2.8</v>
      </c>
      <c r="N8" s="6">
        <v>8.64</v>
      </c>
      <c r="O8" s="6">
        <v>4.21</v>
      </c>
      <c r="P8" s="50">
        <v>0.33</v>
      </c>
      <c r="Q8" s="6">
        <v>140.58000000000001</v>
      </c>
      <c r="R8" s="9">
        <v>35.950000000000003</v>
      </c>
      <c r="S8" s="9">
        <v>9.5299999999999994</v>
      </c>
      <c r="T8" s="9">
        <v>13.62</v>
      </c>
      <c r="U8" s="9">
        <v>0.04</v>
      </c>
      <c r="V8" s="9">
        <v>7.01</v>
      </c>
      <c r="W8" s="9">
        <f t="shared" si="0"/>
        <v>309.43900000000002</v>
      </c>
      <c r="X8" s="1">
        <f t="shared" si="1"/>
        <v>35.99</v>
      </c>
      <c r="Y8" s="2">
        <f t="shared" si="2"/>
        <v>273.44900000000001</v>
      </c>
      <c r="Z8" s="2"/>
      <c r="AA8" s="2">
        <f t="shared" si="12"/>
        <v>80.600000000000009</v>
      </c>
      <c r="AB8" s="2">
        <f t="shared" si="13"/>
        <v>199.72000000000003</v>
      </c>
      <c r="AC8" s="2">
        <f t="shared" si="14"/>
        <v>-119.12000000000002</v>
      </c>
      <c r="AD8" s="2">
        <f t="shared" si="15"/>
        <v>280.32000000000005</v>
      </c>
      <c r="AE8" s="2">
        <f t="shared" si="16"/>
        <v>-42.49429223744292</v>
      </c>
      <c r="AF8" s="4">
        <f t="shared" si="3"/>
        <v>3.2310000000000003</v>
      </c>
      <c r="AG8" s="2">
        <v>2</v>
      </c>
      <c r="AH8" s="2">
        <v>40</v>
      </c>
      <c r="AI8" s="3">
        <f t="shared" si="4"/>
        <v>0.23045267489711932</v>
      </c>
      <c r="AJ8" s="1">
        <v>2</v>
      </c>
      <c r="AK8" s="1">
        <v>24.3</v>
      </c>
      <c r="AL8" s="3">
        <f t="shared" si="5"/>
        <v>0.37565217391304351</v>
      </c>
      <c r="AM8" s="1">
        <v>1</v>
      </c>
      <c r="AN8" s="1">
        <v>23</v>
      </c>
      <c r="AO8" s="3">
        <f t="shared" si="6"/>
        <v>0.10794871794871795</v>
      </c>
      <c r="AP8" s="1">
        <v>1</v>
      </c>
      <c r="AQ8" s="1">
        <v>39</v>
      </c>
      <c r="AR8" s="3">
        <f t="shared" si="7"/>
        <v>1.0126760563380282</v>
      </c>
      <c r="AS8" s="1">
        <v>1</v>
      </c>
      <c r="AT8" s="1">
        <v>35.5</v>
      </c>
      <c r="AU8" s="3">
        <f t="shared" si="8"/>
        <v>2.1063717746182204E-3</v>
      </c>
      <c r="AV8" s="1">
        <v>1</v>
      </c>
      <c r="AW8" s="1">
        <v>18.989999999999998</v>
      </c>
      <c r="AX8" s="3">
        <f t="shared" si="9"/>
        <v>0.21964199322689887</v>
      </c>
      <c r="AY8" s="1">
        <v>1</v>
      </c>
      <c r="AZ8" s="1">
        <v>62.01</v>
      </c>
      <c r="BA8" s="3">
        <f t="shared" si="10"/>
        <v>0.19854166666666664</v>
      </c>
      <c r="BB8" s="1">
        <v>2</v>
      </c>
      <c r="BC8" s="1">
        <v>96</v>
      </c>
      <c r="BD8" s="3">
        <f t="shared" si="11"/>
        <v>2.3045901639344266</v>
      </c>
      <c r="BE8" s="1">
        <v>1</v>
      </c>
      <c r="BF8" s="1">
        <v>61</v>
      </c>
      <c r="BH8" s="2">
        <f t="shared" si="17"/>
        <v>3.9450535667588809</v>
      </c>
      <c r="BI8" s="1">
        <f t="shared" si="18"/>
        <v>3.7375562519406387</v>
      </c>
      <c r="BJ8" s="2">
        <f t="shared" si="19"/>
        <v>0.20749731481824218</v>
      </c>
      <c r="BK8" s="2">
        <f t="shared" si="20"/>
        <v>7.68260981869952</v>
      </c>
      <c r="BL8" s="1">
        <f t="shared" si="21"/>
        <v>2.7008701432837633E-2</v>
      </c>
      <c r="BM8" s="1">
        <f t="shared" si="22"/>
        <v>2.7008701432837632</v>
      </c>
    </row>
    <row r="9" spans="1:65" ht="26.4" x14ac:dyDescent="0.3">
      <c r="B9" s="39">
        <v>6</v>
      </c>
      <c r="C9" s="55" t="s">
        <v>25</v>
      </c>
      <c r="D9" s="40" t="s">
        <v>24</v>
      </c>
      <c r="E9" s="39" t="s">
        <v>23</v>
      </c>
      <c r="F9" s="39">
        <v>20.305157999999999</v>
      </c>
      <c r="G9" s="39">
        <v>85.857224000000002</v>
      </c>
      <c r="H9" s="52">
        <v>5.68</v>
      </c>
      <c r="I9" s="52">
        <v>526.84</v>
      </c>
      <c r="J9" s="39">
        <v>71</v>
      </c>
      <c r="K9" s="39">
        <v>234</v>
      </c>
      <c r="L9" s="43">
        <v>47.78</v>
      </c>
      <c r="M9" s="43">
        <v>15.13</v>
      </c>
      <c r="N9" s="43">
        <v>21.37</v>
      </c>
      <c r="O9" s="43">
        <v>7.17</v>
      </c>
      <c r="P9" s="53">
        <v>0.32</v>
      </c>
      <c r="Q9" s="43">
        <v>61.89</v>
      </c>
      <c r="R9" s="52">
        <v>146.38</v>
      </c>
      <c r="S9" s="52">
        <v>11.77</v>
      </c>
      <c r="T9" s="52">
        <v>17.98</v>
      </c>
      <c r="U9" s="52">
        <v>0.2</v>
      </c>
      <c r="V9" s="52">
        <v>7.28</v>
      </c>
      <c r="W9" s="52">
        <f t="shared" si="0"/>
        <v>342.44600000000003</v>
      </c>
      <c r="X9">
        <f t="shared" si="1"/>
        <v>146.57999999999998</v>
      </c>
      <c r="Y9" s="44">
        <f t="shared" si="2"/>
        <v>195.86600000000004</v>
      </c>
      <c r="Z9" s="44"/>
      <c r="AA9" s="44">
        <f t="shared" si="12"/>
        <v>91.77</v>
      </c>
      <c r="AB9" s="44">
        <f t="shared" si="13"/>
        <v>238.22</v>
      </c>
      <c r="AC9" s="44">
        <f t="shared" si="14"/>
        <v>-146.44999999999999</v>
      </c>
      <c r="AD9" s="44">
        <f t="shared" si="15"/>
        <v>329.99</v>
      </c>
      <c r="AE9" s="44">
        <f t="shared" si="16"/>
        <v>-44.380132731294886</v>
      </c>
      <c r="AF9" s="45">
        <f t="shared" si="3"/>
        <v>2.3890000000000002</v>
      </c>
      <c r="AG9" s="44">
        <v>2</v>
      </c>
      <c r="AH9" s="44">
        <v>40</v>
      </c>
      <c r="AI9" s="46">
        <f t="shared" si="4"/>
        <v>1.2452674897119342</v>
      </c>
      <c r="AJ9">
        <v>2</v>
      </c>
      <c r="AK9">
        <v>24.3</v>
      </c>
      <c r="AL9" s="46">
        <f t="shared" si="5"/>
        <v>0.92913043478260871</v>
      </c>
      <c r="AM9">
        <v>1</v>
      </c>
      <c r="AN9">
        <v>23</v>
      </c>
      <c r="AO9" s="46">
        <f t="shared" si="6"/>
        <v>0.18384615384615385</v>
      </c>
      <c r="AP9">
        <v>1</v>
      </c>
      <c r="AQ9">
        <v>39</v>
      </c>
      <c r="AR9" s="46">
        <f t="shared" si="7"/>
        <v>4.1233802816901406</v>
      </c>
      <c r="AS9">
        <v>1</v>
      </c>
      <c r="AT9">
        <v>35.5</v>
      </c>
      <c r="AU9" s="46">
        <f t="shared" si="8"/>
        <v>1.0531858873091103E-2</v>
      </c>
      <c r="AV9">
        <v>1</v>
      </c>
      <c r="AW9">
        <v>18.989999999999998</v>
      </c>
      <c r="AX9" s="46">
        <f t="shared" si="9"/>
        <v>0.28995323334945977</v>
      </c>
      <c r="AY9">
        <v>1</v>
      </c>
      <c r="AZ9">
        <v>62.01</v>
      </c>
      <c r="BA9" s="46">
        <f t="shared" si="10"/>
        <v>0.24520833333333333</v>
      </c>
      <c r="BB9">
        <v>2</v>
      </c>
      <c r="BC9">
        <v>96</v>
      </c>
      <c r="BD9" s="46">
        <f t="shared" si="11"/>
        <v>1.0145901639344261</v>
      </c>
      <c r="BE9">
        <v>1</v>
      </c>
      <c r="BF9">
        <v>61</v>
      </c>
      <c r="BH9" s="44">
        <f t="shared" si="17"/>
        <v>4.7472440783406968</v>
      </c>
      <c r="BI9">
        <f t="shared" si="18"/>
        <v>5.6836638711804506</v>
      </c>
      <c r="BJ9" s="44">
        <f t="shared" si="19"/>
        <v>-0.93641979283975374</v>
      </c>
      <c r="BK9" s="44">
        <f t="shared" si="20"/>
        <v>10.430907949521147</v>
      </c>
      <c r="BL9">
        <f t="shared" si="21"/>
        <v>-8.9773565002339226E-2</v>
      </c>
      <c r="BM9">
        <f t="shared" si="22"/>
        <v>-8.9773565002339222</v>
      </c>
    </row>
    <row r="10" spans="1:65" s="13" customFormat="1" x14ac:dyDescent="0.3">
      <c r="B10" s="54">
        <v>7</v>
      </c>
      <c r="C10" s="55"/>
      <c r="D10" s="10" t="s">
        <v>22</v>
      </c>
      <c r="E10" s="8" t="s">
        <v>21</v>
      </c>
      <c r="F10" s="8">
        <v>20.347449000000001</v>
      </c>
      <c r="G10" s="8">
        <v>85.814167999999995</v>
      </c>
      <c r="H10" s="9">
        <v>6.03</v>
      </c>
      <c r="I10" s="9">
        <v>432.02</v>
      </c>
      <c r="J10" s="8">
        <v>73</v>
      </c>
      <c r="K10" s="8">
        <v>180</v>
      </c>
      <c r="L10" s="6">
        <v>44.37</v>
      </c>
      <c r="M10" s="6">
        <v>10.078164537109799</v>
      </c>
      <c r="N10" s="6">
        <v>17.3</v>
      </c>
      <c r="O10" s="6">
        <v>10.23</v>
      </c>
      <c r="P10" s="50">
        <v>0.14000000000000001</v>
      </c>
      <c r="Q10" s="6">
        <v>25.35</v>
      </c>
      <c r="R10" s="9">
        <v>120.84</v>
      </c>
      <c r="S10" s="9">
        <v>7.5</v>
      </c>
      <c r="T10" s="9">
        <v>25.62</v>
      </c>
      <c r="U10" s="9">
        <v>0.04</v>
      </c>
      <c r="V10" s="9">
        <v>6.65</v>
      </c>
      <c r="W10" s="9">
        <f t="shared" si="0"/>
        <v>280.81299999999999</v>
      </c>
      <c r="X10" s="1">
        <f t="shared" si="1"/>
        <v>120.88000000000001</v>
      </c>
      <c r="Y10" s="2">
        <f t="shared" si="2"/>
        <v>159.93299999999999</v>
      </c>
      <c r="Z10" s="2"/>
      <c r="AA10" s="2">
        <f t="shared" si="12"/>
        <v>82.118164537109791</v>
      </c>
      <c r="AB10" s="2">
        <f t="shared" si="13"/>
        <v>179.35</v>
      </c>
      <c r="AC10" s="2">
        <f t="shared" si="14"/>
        <v>-97.231835462890203</v>
      </c>
      <c r="AD10" s="2">
        <f t="shared" si="15"/>
        <v>261.46816453710977</v>
      </c>
      <c r="AE10" s="2">
        <f t="shared" si="16"/>
        <v>-37.186873451697117</v>
      </c>
      <c r="AF10" s="4">
        <f t="shared" si="3"/>
        <v>2.2184999999999997</v>
      </c>
      <c r="AG10" s="2">
        <v>2</v>
      </c>
      <c r="AH10" s="2">
        <v>40</v>
      </c>
      <c r="AI10" s="3">
        <f t="shared" si="4"/>
        <v>0.82947856272508635</v>
      </c>
      <c r="AJ10" s="1">
        <v>2</v>
      </c>
      <c r="AK10" s="1">
        <v>24.3</v>
      </c>
      <c r="AL10" s="3">
        <f t="shared" si="5"/>
        <v>0.75217391304347825</v>
      </c>
      <c r="AM10" s="1">
        <v>1</v>
      </c>
      <c r="AN10" s="1">
        <v>23</v>
      </c>
      <c r="AO10" s="3">
        <f t="shared" si="6"/>
        <v>0.2623076923076923</v>
      </c>
      <c r="AP10" s="1">
        <v>1</v>
      </c>
      <c r="AQ10" s="1">
        <v>39</v>
      </c>
      <c r="AR10" s="3">
        <f t="shared" si="7"/>
        <v>3.4039436619718311</v>
      </c>
      <c r="AS10" s="1">
        <v>1</v>
      </c>
      <c r="AT10" s="1">
        <v>35.5</v>
      </c>
      <c r="AU10" s="3">
        <f t="shared" si="8"/>
        <v>2.1063717746182204E-3</v>
      </c>
      <c r="AV10" s="1">
        <v>1</v>
      </c>
      <c r="AW10" s="1">
        <v>18.989999999999998</v>
      </c>
      <c r="AX10" s="3">
        <f t="shared" si="9"/>
        <v>0.41315916787614904</v>
      </c>
      <c r="AY10" s="1">
        <v>1</v>
      </c>
      <c r="AZ10" s="1">
        <v>62.01</v>
      </c>
      <c r="BA10" s="3">
        <f t="shared" si="10"/>
        <v>0.15625</v>
      </c>
      <c r="BB10" s="1">
        <v>2</v>
      </c>
      <c r="BC10" s="1">
        <v>96</v>
      </c>
      <c r="BD10" s="3">
        <f t="shared" si="11"/>
        <v>0.41557377049180333</v>
      </c>
      <c r="BE10" s="1">
        <v>1</v>
      </c>
      <c r="BF10" s="1">
        <v>61</v>
      </c>
      <c r="BG10" s="1"/>
      <c r="BH10" s="2">
        <f t="shared" si="17"/>
        <v>4.0624601680762567</v>
      </c>
      <c r="BI10" s="1">
        <f t="shared" si="18"/>
        <v>4.3910329721144015</v>
      </c>
      <c r="BJ10" s="2">
        <f t="shared" si="19"/>
        <v>-0.32857280403814482</v>
      </c>
      <c r="BK10" s="2">
        <f t="shared" si="20"/>
        <v>8.453493140190659</v>
      </c>
      <c r="BL10" s="1">
        <f t="shared" si="21"/>
        <v>-3.8868287770413242E-2</v>
      </c>
      <c r="BM10" s="1">
        <f t="shared" si="22"/>
        <v>-3.8868287770413241</v>
      </c>
    </row>
    <row r="11" spans="1:65" ht="15" customHeight="1" x14ac:dyDescent="0.3">
      <c r="B11" s="39">
        <v>8</v>
      </c>
      <c r="C11" s="55"/>
      <c r="D11" s="40" t="s">
        <v>20</v>
      </c>
      <c r="E11" s="39" t="s">
        <v>19</v>
      </c>
      <c r="F11" s="39">
        <v>20.329160000000002</v>
      </c>
      <c r="G11" s="39">
        <v>85.826770999999994</v>
      </c>
      <c r="H11" s="52">
        <v>6.18</v>
      </c>
      <c r="I11" s="52">
        <v>680.23</v>
      </c>
      <c r="J11" s="39">
        <v>99</v>
      </c>
      <c r="K11" s="39">
        <v>203</v>
      </c>
      <c r="L11" s="43">
        <v>61.57</v>
      </c>
      <c r="M11" s="43">
        <v>8.08</v>
      </c>
      <c r="N11" s="43">
        <v>39.22</v>
      </c>
      <c r="O11" s="43">
        <v>16.73</v>
      </c>
      <c r="P11" s="53">
        <v>0.46</v>
      </c>
      <c r="Q11" s="43">
        <v>53.18</v>
      </c>
      <c r="R11" s="52">
        <v>150.46</v>
      </c>
      <c r="S11" s="52">
        <v>29.84</v>
      </c>
      <c r="T11" s="52">
        <v>62.73</v>
      </c>
      <c r="U11" s="52">
        <v>0.24</v>
      </c>
      <c r="V11" s="52">
        <v>5.45</v>
      </c>
      <c r="W11" s="52">
        <f t="shared" si="0"/>
        <v>442.14950000000005</v>
      </c>
      <c r="X11">
        <f t="shared" si="1"/>
        <v>150.70000000000002</v>
      </c>
      <c r="Y11" s="44">
        <f t="shared" si="2"/>
        <v>291.44950000000006</v>
      </c>
      <c r="Z11" s="44"/>
      <c r="AA11" s="44">
        <f t="shared" si="12"/>
        <v>126.05999999999999</v>
      </c>
      <c r="AB11" s="44">
        <f t="shared" si="13"/>
        <v>296.45000000000005</v>
      </c>
      <c r="AC11" s="44">
        <f t="shared" si="14"/>
        <v>-170.39000000000004</v>
      </c>
      <c r="AD11" s="44">
        <f t="shared" si="15"/>
        <v>422.51000000000005</v>
      </c>
      <c r="AE11" s="44">
        <f t="shared" si="16"/>
        <v>-40.328039573027866</v>
      </c>
      <c r="AF11" s="45">
        <f t="shared" si="3"/>
        <v>3.0785</v>
      </c>
      <c r="AG11" s="44">
        <v>2</v>
      </c>
      <c r="AH11" s="44">
        <v>40</v>
      </c>
      <c r="AI11" s="46">
        <f t="shared" si="4"/>
        <v>0.66502057613168719</v>
      </c>
      <c r="AJ11">
        <v>2</v>
      </c>
      <c r="AK11">
        <v>24.3</v>
      </c>
      <c r="AL11" s="46">
        <f t="shared" si="5"/>
        <v>1.7052173913043478</v>
      </c>
      <c r="AM11">
        <v>1</v>
      </c>
      <c r="AN11">
        <v>23</v>
      </c>
      <c r="AO11" s="46">
        <f t="shared" si="6"/>
        <v>0.42897435897435898</v>
      </c>
      <c r="AP11">
        <v>1</v>
      </c>
      <c r="AQ11">
        <v>39</v>
      </c>
      <c r="AR11" s="46">
        <f t="shared" si="7"/>
        <v>4.2383098591549295</v>
      </c>
      <c r="AS11">
        <v>1</v>
      </c>
      <c r="AT11">
        <v>35.5</v>
      </c>
      <c r="AU11" s="46">
        <f t="shared" si="8"/>
        <v>1.2638230647709321E-2</v>
      </c>
      <c r="AV11">
        <v>1</v>
      </c>
      <c r="AW11">
        <v>18.989999999999998</v>
      </c>
      <c r="AX11" s="46">
        <f t="shared" si="9"/>
        <v>1.011611030478955</v>
      </c>
      <c r="AY11">
        <v>1</v>
      </c>
      <c r="AZ11">
        <v>62.01</v>
      </c>
      <c r="BA11" s="46">
        <f t="shared" si="10"/>
        <v>0.6216666666666667</v>
      </c>
      <c r="BB11">
        <v>2</v>
      </c>
      <c r="BC11">
        <v>96</v>
      </c>
      <c r="BD11" s="46">
        <f t="shared" si="11"/>
        <v>0.87180327868852459</v>
      </c>
      <c r="BE11">
        <v>1</v>
      </c>
      <c r="BF11">
        <v>61</v>
      </c>
      <c r="BH11" s="44">
        <f t="shared" si="17"/>
        <v>5.8777123264103937</v>
      </c>
      <c r="BI11">
        <f t="shared" si="18"/>
        <v>6.7560290656367856</v>
      </c>
      <c r="BJ11" s="44">
        <f t="shared" si="19"/>
        <v>-0.87831673922639197</v>
      </c>
      <c r="BK11" s="44">
        <f t="shared" si="20"/>
        <v>12.633741392047179</v>
      </c>
      <c r="BL11">
        <f t="shared" si="21"/>
        <v>-6.9521506889422643E-2</v>
      </c>
      <c r="BM11">
        <f t="shared" si="22"/>
        <v>-6.9521506889422646</v>
      </c>
    </row>
    <row r="12" spans="1:65" s="1" customFormat="1" x14ac:dyDescent="0.3">
      <c r="B12" s="8">
        <v>9</v>
      </c>
      <c r="C12" s="55"/>
      <c r="D12" s="10" t="s">
        <v>18</v>
      </c>
      <c r="E12" s="8" t="s">
        <v>17</v>
      </c>
      <c r="F12" s="8">
        <v>20.298776</v>
      </c>
      <c r="G12" s="8">
        <v>85.866260999999994</v>
      </c>
      <c r="H12" s="9">
        <v>5.92</v>
      </c>
      <c r="I12" s="9">
        <v>458.12</v>
      </c>
      <c r="J12" s="8">
        <v>20</v>
      </c>
      <c r="K12" s="8">
        <v>90</v>
      </c>
      <c r="L12" s="6">
        <v>42.65</v>
      </c>
      <c r="M12" s="6">
        <v>9</v>
      </c>
      <c r="N12" s="6">
        <v>24.7</v>
      </c>
      <c r="O12" s="6">
        <v>2.95</v>
      </c>
      <c r="P12" s="50">
        <v>0.54</v>
      </c>
      <c r="Q12" s="6">
        <v>86.07</v>
      </c>
      <c r="R12" s="9">
        <v>94.95</v>
      </c>
      <c r="S12" s="9">
        <v>10.039999999999999</v>
      </c>
      <c r="T12" s="9">
        <v>8.73</v>
      </c>
      <c r="U12" s="9">
        <v>0.11</v>
      </c>
      <c r="V12" s="9">
        <v>5.0999999999999996</v>
      </c>
      <c r="W12" s="9">
        <f t="shared" si="0"/>
        <v>297.77800000000002</v>
      </c>
      <c r="X12" s="1">
        <f t="shared" si="1"/>
        <v>95.06</v>
      </c>
      <c r="Y12" s="2">
        <f t="shared" si="2"/>
        <v>202.71800000000002</v>
      </c>
      <c r="Z12" s="2"/>
      <c r="AA12" s="2">
        <f t="shared" si="12"/>
        <v>79.84</v>
      </c>
      <c r="AB12" s="2">
        <f t="shared" si="13"/>
        <v>199.89999999999998</v>
      </c>
      <c r="AC12" s="2">
        <f t="shared" si="14"/>
        <v>-120.05999999999997</v>
      </c>
      <c r="AD12" s="2">
        <f t="shared" si="15"/>
        <v>279.74</v>
      </c>
      <c r="AE12" s="2">
        <f t="shared" si="16"/>
        <v>-42.918424251090286</v>
      </c>
      <c r="AF12" s="4">
        <f t="shared" si="3"/>
        <v>2.1324999999999998</v>
      </c>
      <c r="AG12" s="2">
        <v>2</v>
      </c>
      <c r="AH12" s="2">
        <v>40</v>
      </c>
      <c r="AI12" s="3">
        <f t="shared" si="4"/>
        <v>0.7407407407407407</v>
      </c>
      <c r="AJ12" s="1">
        <v>2</v>
      </c>
      <c r="AK12" s="1">
        <v>24.3</v>
      </c>
      <c r="AL12" s="3">
        <f t="shared" si="5"/>
        <v>1.0739130434782609</v>
      </c>
      <c r="AM12" s="1">
        <v>1</v>
      </c>
      <c r="AN12" s="1">
        <v>23</v>
      </c>
      <c r="AO12" s="3">
        <f t="shared" si="6"/>
        <v>7.564102564102565E-2</v>
      </c>
      <c r="AP12" s="1">
        <v>1</v>
      </c>
      <c r="AQ12" s="1">
        <v>39</v>
      </c>
      <c r="AR12" s="3">
        <f t="shared" si="7"/>
        <v>2.6746478873239439</v>
      </c>
      <c r="AS12" s="1">
        <v>1</v>
      </c>
      <c r="AT12" s="1">
        <v>35.5</v>
      </c>
      <c r="AU12" s="3">
        <f t="shared" si="8"/>
        <v>5.7925223802001062E-3</v>
      </c>
      <c r="AV12" s="1">
        <v>1</v>
      </c>
      <c r="AW12" s="1">
        <v>18.989999999999998</v>
      </c>
      <c r="AX12" s="3">
        <f t="shared" si="9"/>
        <v>0.14078374455732948</v>
      </c>
      <c r="AY12" s="1">
        <v>1</v>
      </c>
      <c r="AZ12" s="1">
        <v>62.01</v>
      </c>
      <c r="BA12" s="3">
        <f t="shared" si="10"/>
        <v>0.20916666666666664</v>
      </c>
      <c r="BB12" s="1">
        <v>2</v>
      </c>
      <c r="BC12" s="1">
        <v>96</v>
      </c>
      <c r="BD12" s="3">
        <f t="shared" si="11"/>
        <v>1.4109836065573769</v>
      </c>
      <c r="BE12" s="1">
        <v>1</v>
      </c>
      <c r="BF12" s="1">
        <v>61</v>
      </c>
      <c r="BH12" s="2">
        <f t="shared" si="17"/>
        <v>4.0227948098600272</v>
      </c>
      <c r="BI12" s="1">
        <f t="shared" si="18"/>
        <v>4.4413744274855169</v>
      </c>
      <c r="BJ12" s="2">
        <f t="shared" si="19"/>
        <v>-0.41857961762548967</v>
      </c>
      <c r="BK12" s="2">
        <f t="shared" si="20"/>
        <v>8.4641692373455442</v>
      </c>
      <c r="BL12" s="1">
        <f t="shared" si="21"/>
        <v>-4.9453124800321317E-2</v>
      </c>
      <c r="BM12" s="1">
        <f t="shared" si="22"/>
        <v>-4.9453124800321318</v>
      </c>
    </row>
    <row r="13" spans="1:65" x14ac:dyDescent="0.3">
      <c r="B13" s="39">
        <v>10</v>
      </c>
      <c r="C13" s="55"/>
      <c r="D13" s="40" t="s">
        <v>16</v>
      </c>
      <c r="E13" s="39" t="s">
        <v>15</v>
      </c>
      <c r="F13" s="39">
        <v>20.36326</v>
      </c>
      <c r="G13" s="39">
        <v>85.753206000000006</v>
      </c>
      <c r="H13" s="52">
        <v>6.41</v>
      </c>
      <c r="I13" s="52">
        <v>553.27632430921699</v>
      </c>
      <c r="J13" s="39">
        <v>104</v>
      </c>
      <c r="K13" s="39">
        <v>234</v>
      </c>
      <c r="L13" s="43">
        <v>62.74</v>
      </c>
      <c r="M13" s="43">
        <v>19.34</v>
      </c>
      <c r="N13" s="43">
        <v>21.01</v>
      </c>
      <c r="O13" s="43">
        <v>5.58</v>
      </c>
      <c r="P13" s="53">
        <v>0.05</v>
      </c>
      <c r="Q13" s="43">
        <v>93.03</v>
      </c>
      <c r="R13" s="52">
        <v>93.73</v>
      </c>
      <c r="S13" s="52">
        <v>24.78</v>
      </c>
      <c r="T13" s="52">
        <v>27.59</v>
      </c>
      <c r="U13" s="52">
        <v>0.17</v>
      </c>
      <c r="V13" s="52">
        <v>5.25</v>
      </c>
      <c r="W13" s="52">
        <f t="shared" si="0"/>
        <v>359.62961080099103</v>
      </c>
      <c r="X13">
        <f t="shared" si="1"/>
        <v>93.9</v>
      </c>
      <c r="Y13" s="44">
        <f t="shared" si="2"/>
        <v>265.72961080099105</v>
      </c>
      <c r="Z13" s="44"/>
      <c r="AA13" s="44">
        <f t="shared" si="12"/>
        <v>108.72000000000001</v>
      </c>
      <c r="AB13" s="44">
        <f t="shared" si="13"/>
        <v>239.3</v>
      </c>
      <c r="AC13" s="44">
        <f t="shared" si="14"/>
        <v>-130.57999999999998</v>
      </c>
      <c r="AD13" s="44">
        <f t="shared" si="15"/>
        <v>348.02000000000004</v>
      </c>
      <c r="AE13" s="44">
        <f t="shared" si="16"/>
        <v>-37.520832136084124</v>
      </c>
      <c r="AF13" s="45">
        <f t="shared" si="3"/>
        <v>3.137</v>
      </c>
      <c r="AG13" s="44">
        <v>2</v>
      </c>
      <c r="AH13" s="44">
        <v>40</v>
      </c>
      <c r="AI13" s="46">
        <f t="shared" si="4"/>
        <v>1.5917695473251028</v>
      </c>
      <c r="AJ13">
        <v>2</v>
      </c>
      <c r="AK13">
        <v>24.3</v>
      </c>
      <c r="AL13" s="46">
        <f t="shared" si="5"/>
        <v>0.9134782608695653</v>
      </c>
      <c r="AM13">
        <v>1</v>
      </c>
      <c r="AN13">
        <v>23</v>
      </c>
      <c r="AO13" s="46">
        <f t="shared" si="6"/>
        <v>0.14307692307692307</v>
      </c>
      <c r="AP13">
        <v>1</v>
      </c>
      <c r="AQ13">
        <v>39</v>
      </c>
      <c r="AR13" s="46">
        <f t="shared" si="7"/>
        <v>2.6402816901408452</v>
      </c>
      <c r="AS13">
        <v>1</v>
      </c>
      <c r="AT13">
        <v>35.5</v>
      </c>
      <c r="AU13" s="46">
        <f t="shared" si="8"/>
        <v>8.9520800421274364E-3</v>
      </c>
      <c r="AV13">
        <v>1</v>
      </c>
      <c r="AW13">
        <v>18.989999999999998</v>
      </c>
      <c r="AX13" s="46">
        <f t="shared" si="9"/>
        <v>0.44492823738106757</v>
      </c>
      <c r="AY13">
        <v>1</v>
      </c>
      <c r="AZ13">
        <v>62.01</v>
      </c>
      <c r="BA13" s="46">
        <f t="shared" si="10"/>
        <v>0.51624999999999999</v>
      </c>
      <c r="BB13">
        <v>2</v>
      </c>
      <c r="BC13">
        <v>96</v>
      </c>
      <c r="BD13" s="46">
        <f t="shared" si="11"/>
        <v>1.5250819672131148</v>
      </c>
      <c r="BE13">
        <v>1</v>
      </c>
      <c r="BF13">
        <v>61</v>
      </c>
      <c r="BH13" s="44">
        <f t="shared" si="17"/>
        <v>5.785324731271591</v>
      </c>
      <c r="BI13">
        <f t="shared" si="18"/>
        <v>5.1354939747771553</v>
      </c>
      <c r="BJ13" s="44">
        <f t="shared" si="19"/>
        <v>0.64983075649443567</v>
      </c>
      <c r="BK13" s="44">
        <f t="shared" si="20"/>
        <v>10.920818706048745</v>
      </c>
      <c r="BL13">
        <f t="shared" si="21"/>
        <v>5.9503849847311545E-2</v>
      </c>
      <c r="BM13">
        <f t="shared" si="22"/>
        <v>5.9503849847311541</v>
      </c>
    </row>
    <row r="14" spans="1:65" s="1" customFormat="1" x14ac:dyDescent="0.3">
      <c r="B14" s="8">
        <v>11</v>
      </c>
      <c r="C14" s="55" t="s">
        <v>14</v>
      </c>
      <c r="D14" s="10" t="s">
        <v>13</v>
      </c>
      <c r="E14" s="8" t="s">
        <v>12</v>
      </c>
      <c r="F14" s="8">
        <v>20.388677999999999</v>
      </c>
      <c r="G14" s="8">
        <v>85.792107000000001</v>
      </c>
      <c r="H14" s="9">
        <v>6.46</v>
      </c>
      <c r="I14" s="9">
        <v>403.92</v>
      </c>
      <c r="J14" s="8">
        <v>10</v>
      </c>
      <c r="K14" s="8">
        <v>118</v>
      </c>
      <c r="L14" s="6">
        <v>39.31</v>
      </c>
      <c r="M14" s="6">
        <v>2.4</v>
      </c>
      <c r="N14" s="6">
        <v>20.059999999999999</v>
      </c>
      <c r="O14" s="6">
        <v>4.8899999999999997</v>
      </c>
      <c r="P14" s="50">
        <v>0.2</v>
      </c>
      <c r="Q14" s="6">
        <v>25.79</v>
      </c>
      <c r="R14" s="9">
        <v>70.86</v>
      </c>
      <c r="S14" s="9">
        <v>26.17</v>
      </c>
      <c r="T14" s="9">
        <v>57.06</v>
      </c>
      <c r="U14" s="9">
        <v>0.05</v>
      </c>
      <c r="V14" s="9">
        <v>5.83</v>
      </c>
      <c r="W14" s="9">
        <f t="shared" si="0"/>
        <v>262.548</v>
      </c>
      <c r="X14" s="1">
        <f t="shared" si="1"/>
        <v>70.91</v>
      </c>
      <c r="Y14" s="2">
        <f t="shared" si="2"/>
        <v>191.63800000000001</v>
      </c>
      <c r="Z14" s="2"/>
      <c r="AA14" s="2">
        <f t="shared" si="12"/>
        <v>66.86</v>
      </c>
      <c r="AB14" s="2">
        <f t="shared" si="13"/>
        <v>179.93</v>
      </c>
      <c r="AC14" s="2">
        <f t="shared" si="14"/>
        <v>-113.07000000000001</v>
      </c>
      <c r="AD14" s="2">
        <f t="shared" si="15"/>
        <v>246.79000000000002</v>
      </c>
      <c r="AE14" s="2">
        <f t="shared" si="16"/>
        <v>-45.816281048664855</v>
      </c>
      <c r="AF14" s="4">
        <f t="shared" si="3"/>
        <v>1.9655</v>
      </c>
      <c r="AG14" s="2">
        <v>2</v>
      </c>
      <c r="AH14" s="2">
        <v>40</v>
      </c>
      <c r="AI14" s="3">
        <f t="shared" si="4"/>
        <v>0.19753086419753085</v>
      </c>
      <c r="AJ14" s="1">
        <v>2</v>
      </c>
      <c r="AK14" s="1">
        <v>24.3</v>
      </c>
      <c r="AL14" s="3">
        <f t="shared" si="5"/>
        <v>0.87217391304347824</v>
      </c>
      <c r="AM14" s="1">
        <v>1</v>
      </c>
      <c r="AN14" s="1">
        <v>23</v>
      </c>
      <c r="AO14" s="3">
        <f t="shared" si="6"/>
        <v>0.12538461538461537</v>
      </c>
      <c r="AP14" s="1">
        <v>1</v>
      </c>
      <c r="AQ14" s="1">
        <v>39</v>
      </c>
      <c r="AR14" s="3">
        <f t="shared" si="7"/>
        <v>1.9960563380281691</v>
      </c>
      <c r="AS14" s="1">
        <v>1</v>
      </c>
      <c r="AT14" s="1">
        <v>35.5</v>
      </c>
      <c r="AU14" s="3">
        <f t="shared" si="8"/>
        <v>2.6329647182727757E-3</v>
      </c>
      <c r="AV14" s="1">
        <v>1</v>
      </c>
      <c r="AW14" s="1">
        <v>18.989999999999998</v>
      </c>
      <c r="AX14" s="3">
        <f t="shared" si="9"/>
        <v>0.92017416545718445</v>
      </c>
      <c r="AY14" s="1">
        <v>1</v>
      </c>
      <c r="AZ14" s="1">
        <v>62.01</v>
      </c>
      <c r="BA14" s="3">
        <f t="shared" si="10"/>
        <v>0.54520833333333341</v>
      </c>
      <c r="BB14" s="1">
        <v>2</v>
      </c>
      <c r="BC14" s="1">
        <v>96</v>
      </c>
      <c r="BD14" s="3">
        <f t="shared" si="11"/>
        <v>0.42278688524590163</v>
      </c>
      <c r="BE14" s="1">
        <v>1</v>
      </c>
      <c r="BF14" s="1">
        <v>61</v>
      </c>
      <c r="BH14" s="2">
        <f t="shared" si="17"/>
        <v>3.1605893926256243</v>
      </c>
      <c r="BI14" s="1">
        <f t="shared" si="18"/>
        <v>3.8868586867828614</v>
      </c>
      <c r="BJ14" s="2">
        <f t="shared" si="19"/>
        <v>-0.72626929415723707</v>
      </c>
      <c r="BK14" s="2">
        <f t="shared" si="20"/>
        <v>7.0474480794084862</v>
      </c>
      <c r="BL14" s="1">
        <f t="shared" si="21"/>
        <v>-0.103054224163677</v>
      </c>
      <c r="BM14" s="1">
        <f t="shared" si="22"/>
        <v>-10.3054224163677</v>
      </c>
    </row>
    <row r="15" spans="1:65" s="1" customFormat="1" x14ac:dyDescent="0.3">
      <c r="B15" s="8">
        <v>12</v>
      </c>
      <c r="C15" s="55"/>
      <c r="D15" s="10" t="s">
        <v>11</v>
      </c>
      <c r="E15" s="8" t="s">
        <v>10</v>
      </c>
      <c r="F15" s="8">
        <v>20.235861</v>
      </c>
      <c r="G15" s="8">
        <v>85.835819999999998</v>
      </c>
      <c r="H15" s="9">
        <v>6.33</v>
      </c>
      <c r="I15" s="9">
        <v>415.84</v>
      </c>
      <c r="J15" s="8">
        <v>17</v>
      </c>
      <c r="K15" s="8">
        <v>121</v>
      </c>
      <c r="L15" s="6">
        <v>41.18</v>
      </c>
      <c r="M15" s="6">
        <v>14.35</v>
      </c>
      <c r="N15" s="6">
        <v>15.34</v>
      </c>
      <c r="O15" s="6">
        <v>8.5399999999999991</v>
      </c>
      <c r="P15" s="50">
        <v>0.48</v>
      </c>
      <c r="Q15" s="6">
        <v>83.32</v>
      </c>
      <c r="R15" s="9">
        <v>50.96</v>
      </c>
      <c r="S15" s="9">
        <v>25.78</v>
      </c>
      <c r="T15" s="9">
        <v>18.59</v>
      </c>
      <c r="U15" s="9">
        <v>0.09</v>
      </c>
      <c r="V15" s="9">
        <v>7.22</v>
      </c>
      <c r="W15" s="9">
        <f t="shared" si="0"/>
        <v>270.29599999999999</v>
      </c>
      <c r="X15" s="1">
        <f t="shared" si="1"/>
        <v>51.050000000000004</v>
      </c>
      <c r="Y15" s="2">
        <f t="shared" si="2"/>
        <v>219.24599999999998</v>
      </c>
      <c r="Z15" s="2"/>
      <c r="AA15" s="2">
        <f t="shared" si="12"/>
        <v>79.89</v>
      </c>
      <c r="AB15" s="2">
        <f t="shared" si="13"/>
        <v>178.74</v>
      </c>
      <c r="AC15" s="2">
        <f t="shared" si="14"/>
        <v>-98.850000000000009</v>
      </c>
      <c r="AD15" s="2">
        <f t="shared" si="15"/>
        <v>258.63</v>
      </c>
      <c r="AE15" s="2">
        <f t="shared" si="16"/>
        <v>-38.220624057533932</v>
      </c>
      <c r="AF15" s="4">
        <f t="shared" si="3"/>
        <v>2.0590000000000002</v>
      </c>
      <c r="AG15" s="2">
        <v>2</v>
      </c>
      <c r="AH15" s="2">
        <v>40</v>
      </c>
      <c r="AI15" s="3">
        <f t="shared" si="4"/>
        <v>1.1810699588477365</v>
      </c>
      <c r="AJ15" s="1">
        <v>2</v>
      </c>
      <c r="AK15" s="1">
        <v>24.3</v>
      </c>
      <c r="AL15" s="3">
        <f t="shared" si="5"/>
        <v>0.66695652173913045</v>
      </c>
      <c r="AM15" s="1">
        <v>1</v>
      </c>
      <c r="AN15" s="1">
        <v>23</v>
      </c>
      <c r="AO15" s="3">
        <f t="shared" si="6"/>
        <v>0.21897435897435896</v>
      </c>
      <c r="AP15" s="1">
        <v>1</v>
      </c>
      <c r="AQ15" s="1">
        <v>39</v>
      </c>
      <c r="AR15" s="3">
        <f t="shared" si="7"/>
        <v>1.435492957746479</v>
      </c>
      <c r="AS15" s="1">
        <v>1</v>
      </c>
      <c r="AT15" s="1">
        <v>35.5</v>
      </c>
      <c r="AU15" s="3">
        <f t="shared" si="8"/>
        <v>4.7393364928909956E-3</v>
      </c>
      <c r="AV15" s="1">
        <v>1</v>
      </c>
      <c r="AW15" s="1">
        <v>18.989999999999998</v>
      </c>
      <c r="AX15" s="3">
        <f t="shared" si="9"/>
        <v>0.29979035639412999</v>
      </c>
      <c r="AY15" s="1">
        <v>1</v>
      </c>
      <c r="AZ15" s="1">
        <v>62.01</v>
      </c>
      <c r="BA15" s="3">
        <f t="shared" si="10"/>
        <v>0.53708333333333336</v>
      </c>
      <c r="BB15" s="1">
        <v>2</v>
      </c>
      <c r="BC15" s="1">
        <v>96</v>
      </c>
      <c r="BD15" s="3">
        <f t="shared" si="11"/>
        <v>1.3659016393442622</v>
      </c>
      <c r="BE15" s="1">
        <v>1</v>
      </c>
      <c r="BF15" s="1">
        <v>61</v>
      </c>
      <c r="BH15" s="2">
        <f t="shared" si="17"/>
        <v>4.1260008395612262</v>
      </c>
      <c r="BI15" s="1">
        <f t="shared" si="18"/>
        <v>3.6430076233110951</v>
      </c>
      <c r="BJ15" s="2">
        <f t="shared" si="19"/>
        <v>0.48299321625013114</v>
      </c>
      <c r="BK15" s="2">
        <f t="shared" si="20"/>
        <v>7.7690084628723213</v>
      </c>
      <c r="BL15" s="1">
        <f t="shared" si="21"/>
        <v>6.2169222566602941E-2</v>
      </c>
      <c r="BM15" s="1">
        <f t="shared" si="22"/>
        <v>6.2169222566602942</v>
      </c>
    </row>
    <row r="16" spans="1:65" s="1" customFormat="1" ht="26.4" x14ac:dyDescent="0.3">
      <c r="B16" s="8">
        <v>13</v>
      </c>
      <c r="C16" s="55"/>
      <c r="D16" s="10" t="s">
        <v>9</v>
      </c>
      <c r="E16" s="8" t="s">
        <v>8</v>
      </c>
      <c r="F16" s="8">
        <v>20.284300999999999</v>
      </c>
      <c r="G16" s="8">
        <v>85.833995000000002</v>
      </c>
      <c r="H16" s="9">
        <v>5.1100000000000003</v>
      </c>
      <c r="I16" s="9">
        <v>352.75</v>
      </c>
      <c r="J16" s="8">
        <v>53</v>
      </c>
      <c r="K16" s="8">
        <v>53</v>
      </c>
      <c r="L16" s="6">
        <v>20.6</v>
      </c>
      <c r="M16" s="6">
        <v>6.49</v>
      </c>
      <c r="N16" s="6">
        <v>31.22</v>
      </c>
      <c r="O16" s="6">
        <v>7.42</v>
      </c>
      <c r="P16" s="50">
        <v>0.12</v>
      </c>
      <c r="Q16" s="6">
        <v>18.47</v>
      </c>
      <c r="R16" s="9">
        <v>91.59</v>
      </c>
      <c r="S16" s="9">
        <v>30.76</v>
      </c>
      <c r="T16" s="9">
        <v>15.21</v>
      </c>
      <c r="U16" s="9">
        <v>0.03</v>
      </c>
      <c r="V16" s="9">
        <v>5.77</v>
      </c>
      <c r="W16" s="9">
        <f t="shared" si="0"/>
        <v>229.28749999999999</v>
      </c>
      <c r="X16" s="1">
        <f t="shared" si="1"/>
        <v>91.62</v>
      </c>
      <c r="Y16" s="2">
        <f t="shared" si="2"/>
        <v>137.66749999999999</v>
      </c>
      <c r="Z16" s="2"/>
      <c r="AA16" s="2">
        <f t="shared" si="12"/>
        <v>65.850000000000009</v>
      </c>
      <c r="AB16" s="2">
        <f t="shared" si="13"/>
        <v>156.06</v>
      </c>
      <c r="AC16" s="2">
        <f t="shared" si="14"/>
        <v>-90.21</v>
      </c>
      <c r="AD16" s="2">
        <f t="shared" si="15"/>
        <v>221.91000000000003</v>
      </c>
      <c r="AE16" s="2">
        <f t="shared" si="16"/>
        <v>-40.651615519805318</v>
      </c>
      <c r="AF16" s="4">
        <f t="shared" si="3"/>
        <v>1.03</v>
      </c>
      <c r="AG16" s="2">
        <v>2</v>
      </c>
      <c r="AH16" s="2">
        <v>40</v>
      </c>
      <c r="AI16" s="3">
        <f t="shared" si="4"/>
        <v>0.5341563786008231</v>
      </c>
      <c r="AJ16" s="1">
        <v>2</v>
      </c>
      <c r="AK16" s="1">
        <v>24.3</v>
      </c>
      <c r="AL16" s="3">
        <f t="shared" si="5"/>
        <v>1.3573913043478261</v>
      </c>
      <c r="AM16" s="1">
        <v>1</v>
      </c>
      <c r="AN16" s="1">
        <v>23</v>
      </c>
      <c r="AO16" s="3">
        <f t="shared" si="6"/>
        <v>0.19025641025641024</v>
      </c>
      <c r="AP16" s="1">
        <v>1</v>
      </c>
      <c r="AQ16" s="1">
        <v>39</v>
      </c>
      <c r="AR16" s="3">
        <f t="shared" si="7"/>
        <v>2.58</v>
      </c>
      <c r="AS16" s="1">
        <v>1</v>
      </c>
      <c r="AT16" s="1">
        <v>35.5</v>
      </c>
      <c r="AU16" s="3">
        <f t="shared" si="8"/>
        <v>1.5797788309636651E-3</v>
      </c>
      <c r="AV16" s="1">
        <v>1</v>
      </c>
      <c r="AW16" s="1">
        <v>18.989999999999998</v>
      </c>
      <c r="AX16" s="3">
        <f t="shared" si="9"/>
        <v>0.24528301886792456</v>
      </c>
      <c r="AY16" s="1">
        <v>1</v>
      </c>
      <c r="AZ16" s="1">
        <v>62.01</v>
      </c>
      <c r="BA16" s="3">
        <f t="shared" si="10"/>
        <v>0.64083333333333337</v>
      </c>
      <c r="BB16" s="1">
        <v>2</v>
      </c>
      <c r="BC16" s="1">
        <v>96</v>
      </c>
      <c r="BD16" s="3">
        <f t="shared" si="11"/>
        <v>0.30278688524590164</v>
      </c>
      <c r="BE16" s="1">
        <v>1</v>
      </c>
      <c r="BF16" s="1">
        <v>61</v>
      </c>
      <c r="BH16" s="2">
        <f t="shared" si="17"/>
        <v>3.1118040932050595</v>
      </c>
      <c r="BI16" s="1">
        <f t="shared" si="18"/>
        <v>3.7704830162781233</v>
      </c>
      <c r="BJ16" s="2">
        <f t="shared" si="19"/>
        <v>-0.65867892307306386</v>
      </c>
      <c r="BK16" s="2">
        <f t="shared" si="20"/>
        <v>6.8822871094831832</v>
      </c>
      <c r="BL16" s="1">
        <f t="shared" si="21"/>
        <v>-9.5706400008430711E-2</v>
      </c>
      <c r="BM16" s="1">
        <f t="shared" si="22"/>
        <v>-9.5706400008430705</v>
      </c>
    </row>
    <row r="17" spans="2:65" s="1" customFormat="1" x14ac:dyDescent="0.3">
      <c r="B17" s="8">
        <v>14</v>
      </c>
      <c r="C17" s="55"/>
      <c r="D17" s="10" t="s">
        <v>7</v>
      </c>
      <c r="E17" s="8" t="s">
        <v>6</v>
      </c>
      <c r="F17" s="8">
        <v>20.326795000000001</v>
      </c>
      <c r="G17" s="8">
        <v>85.835967999999994</v>
      </c>
      <c r="H17" s="9">
        <v>5.85</v>
      </c>
      <c r="I17" s="9">
        <v>385.95</v>
      </c>
      <c r="J17" s="8">
        <v>104</v>
      </c>
      <c r="K17" s="8">
        <v>128</v>
      </c>
      <c r="L17" s="6">
        <v>31.33</v>
      </c>
      <c r="M17" s="6">
        <v>6.08</v>
      </c>
      <c r="N17" s="6">
        <v>26.36</v>
      </c>
      <c r="O17" s="6">
        <v>1.43</v>
      </c>
      <c r="P17" s="50">
        <v>0.32</v>
      </c>
      <c r="Q17" s="6">
        <v>15.16</v>
      </c>
      <c r="R17" s="9">
        <v>79.31</v>
      </c>
      <c r="S17" s="9">
        <v>22.52</v>
      </c>
      <c r="T17" s="9">
        <v>61.52</v>
      </c>
      <c r="U17" s="9">
        <v>0.18</v>
      </c>
      <c r="V17" s="9">
        <v>6.1</v>
      </c>
      <c r="W17" s="9">
        <f t="shared" si="0"/>
        <v>250.86750000000001</v>
      </c>
      <c r="X17" s="1">
        <f t="shared" si="1"/>
        <v>79.490000000000009</v>
      </c>
      <c r="Y17" s="2">
        <f t="shared" si="2"/>
        <v>171.3775</v>
      </c>
      <c r="Z17" s="2"/>
      <c r="AA17" s="2">
        <f t="shared" si="12"/>
        <v>65.519999999999982</v>
      </c>
      <c r="AB17" s="2">
        <f t="shared" si="13"/>
        <v>178.69</v>
      </c>
      <c r="AC17" s="2">
        <f t="shared" si="14"/>
        <v>-113.17000000000002</v>
      </c>
      <c r="AD17" s="2">
        <f t="shared" si="15"/>
        <v>244.20999999999998</v>
      </c>
      <c r="AE17" s="2">
        <f t="shared" si="16"/>
        <v>-46.341263666516532</v>
      </c>
      <c r="AF17" s="4">
        <f t="shared" si="3"/>
        <v>1.5665</v>
      </c>
      <c r="AG17" s="2">
        <v>2</v>
      </c>
      <c r="AH17" s="2">
        <v>40</v>
      </c>
      <c r="AI17" s="3">
        <f t="shared" si="4"/>
        <v>0.50041152263374489</v>
      </c>
      <c r="AJ17" s="1">
        <v>2</v>
      </c>
      <c r="AK17" s="1">
        <v>24.3</v>
      </c>
      <c r="AL17" s="3">
        <f t="shared" si="5"/>
        <v>1.1460869565217391</v>
      </c>
      <c r="AM17" s="1">
        <v>1</v>
      </c>
      <c r="AN17" s="1">
        <v>23</v>
      </c>
      <c r="AO17" s="3">
        <f t="shared" si="6"/>
        <v>3.6666666666666667E-2</v>
      </c>
      <c r="AP17" s="1">
        <v>1</v>
      </c>
      <c r="AQ17" s="1">
        <v>39</v>
      </c>
      <c r="AR17" s="3">
        <f t="shared" si="7"/>
        <v>2.2340845070422537</v>
      </c>
      <c r="AS17" s="1">
        <v>1</v>
      </c>
      <c r="AT17" s="1">
        <v>35.5</v>
      </c>
      <c r="AU17" s="3">
        <f t="shared" si="8"/>
        <v>9.4786729857819912E-3</v>
      </c>
      <c r="AV17" s="1">
        <v>1</v>
      </c>
      <c r="AW17" s="1">
        <v>18.989999999999998</v>
      </c>
      <c r="AX17" s="3">
        <f t="shared" si="9"/>
        <v>0.99209804870182239</v>
      </c>
      <c r="AY17" s="1">
        <v>1</v>
      </c>
      <c r="AZ17" s="1">
        <v>62.01</v>
      </c>
      <c r="BA17" s="3">
        <f t="shared" si="10"/>
        <v>0.46916666666666668</v>
      </c>
      <c r="BB17" s="1">
        <v>2</v>
      </c>
      <c r="BC17" s="1">
        <v>96</v>
      </c>
      <c r="BD17" s="3">
        <f t="shared" si="11"/>
        <v>0.24852459016393444</v>
      </c>
      <c r="BE17" s="1">
        <v>1</v>
      </c>
      <c r="BF17" s="1">
        <v>61</v>
      </c>
      <c r="BH17" s="2">
        <f t="shared" si="17"/>
        <v>3.2496651458221506</v>
      </c>
      <c r="BI17" s="1">
        <f t="shared" si="18"/>
        <v>3.9533524855604592</v>
      </c>
      <c r="BJ17" s="2">
        <f t="shared" si="19"/>
        <v>-0.70368733973830855</v>
      </c>
      <c r="BK17" s="2">
        <f t="shared" si="20"/>
        <v>7.2030176313826093</v>
      </c>
      <c r="BL17" s="1">
        <f t="shared" si="21"/>
        <v>-9.7693407922873121E-2</v>
      </c>
      <c r="BM17" s="1">
        <f t="shared" si="22"/>
        <v>-9.7693407922873128</v>
      </c>
    </row>
    <row r="18" spans="2:65" x14ac:dyDescent="0.3">
      <c r="B18" s="39">
        <v>15</v>
      </c>
      <c r="C18" s="55"/>
      <c r="D18" s="40" t="s">
        <v>5</v>
      </c>
      <c r="E18" s="39" t="s">
        <v>4</v>
      </c>
      <c r="F18" s="39">
        <v>20.382315999999999</v>
      </c>
      <c r="G18" s="39">
        <v>85.795062999999999</v>
      </c>
      <c r="H18" s="52">
        <v>6.58</v>
      </c>
      <c r="I18" s="52">
        <v>546.66999999999996</v>
      </c>
      <c r="J18" s="39">
        <v>41</v>
      </c>
      <c r="K18" s="39">
        <v>237</v>
      </c>
      <c r="L18" s="43">
        <v>46.82</v>
      </c>
      <c r="M18" s="43">
        <v>19.95</v>
      </c>
      <c r="N18" s="43">
        <v>33.4</v>
      </c>
      <c r="O18" s="43">
        <v>8.76</v>
      </c>
      <c r="P18" s="53">
        <v>0.13</v>
      </c>
      <c r="Q18" s="43">
        <v>121.11</v>
      </c>
      <c r="R18" s="52">
        <v>70.39</v>
      </c>
      <c r="S18" s="52">
        <v>11.5</v>
      </c>
      <c r="T18" s="52">
        <v>36.07</v>
      </c>
      <c r="U18" s="52">
        <v>0.23</v>
      </c>
      <c r="V18" s="52">
        <v>6.15</v>
      </c>
      <c r="W18" s="52">
        <f t="shared" si="0"/>
        <v>355.33549999999997</v>
      </c>
      <c r="X18">
        <f t="shared" si="1"/>
        <v>70.62</v>
      </c>
      <c r="Y18" s="44">
        <f t="shared" si="2"/>
        <v>284.71549999999996</v>
      </c>
      <c r="Z18" s="44"/>
      <c r="AA18" s="44">
        <f t="shared" si="12"/>
        <v>109.06</v>
      </c>
      <c r="AB18" s="44">
        <f t="shared" si="13"/>
        <v>239.3</v>
      </c>
      <c r="AC18" s="44">
        <f t="shared" si="14"/>
        <v>-130.24</v>
      </c>
      <c r="AD18" s="44">
        <f t="shared" si="15"/>
        <v>348.36</v>
      </c>
      <c r="AE18" s="44">
        <f t="shared" si="16"/>
        <v>-37.386611551268807</v>
      </c>
      <c r="AF18" s="45">
        <f t="shared" si="3"/>
        <v>2.3410000000000002</v>
      </c>
      <c r="AG18" s="44">
        <v>2</v>
      </c>
      <c r="AH18" s="44">
        <v>40</v>
      </c>
      <c r="AI18" s="46">
        <f t="shared" si="4"/>
        <v>1.6419753086419753</v>
      </c>
      <c r="AJ18">
        <v>2</v>
      </c>
      <c r="AK18">
        <v>24.3</v>
      </c>
      <c r="AL18" s="46">
        <f t="shared" si="5"/>
        <v>1.4521739130434781</v>
      </c>
      <c r="AM18">
        <v>1</v>
      </c>
      <c r="AN18">
        <v>23</v>
      </c>
      <c r="AO18" s="46">
        <f t="shared" si="6"/>
        <v>0.22461538461538461</v>
      </c>
      <c r="AP18">
        <v>1</v>
      </c>
      <c r="AQ18">
        <v>39</v>
      </c>
      <c r="AR18" s="46">
        <f t="shared" si="7"/>
        <v>1.9828169014084507</v>
      </c>
      <c r="AS18">
        <v>1</v>
      </c>
      <c r="AT18">
        <v>35.5</v>
      </c>
      <c r="AU18" s="46">
        <f t="shared" si="8"/>
        <v>1.2111637704054767E-2</v>
      </c>
      <c r="AV18">
        <v>1</v>
      </c>
      <c r="AW18">
        <v>18.989999999999998</v>
      </c>
      <c r="AX18" s="46">
        <f t="shared" si="9"/>
        <v>0.58168037413320439</v>
      </c>
      <c r="AY18">
        <v>1</v>
      </c>
      <c r="AZ18">
        <v>62.01</v>
      </c>
      <c r="BA18" s="46">
        <f t="shared" si="10"/>
        <v>0.23958333333333334</v>
      </c>
      <c r="BB18">
        <v>2</v>
      </c>
      <c r="BC18">
        <v>96</v>
      </c>
      <c r="BD18" s="46">
        <f t="shared" si="11"/>
        <v>1.9854098360655739</v>
      </c>
      <c r="BE18">
        <v>1</v>
      </c>
      <c r="BF18">
        <v>61</v>
      </c>
      <c r="BH18" s="44">
        <f t="shared" si="17"/>
        <v>5.6597646063008389</v>
      </c>
      <c r="BI18">
        <f t="shared" si="18"/>
        <v>4.8016020826446173</v>
      </c>
      <c r="BJ18" s="44">
        <f t="shared" si="19"/>
        <v>0.85816252365622159</v>
      </c>
      <c r="BK18" s="44">
        <f t="shared" si="20"/>
        <v>10.461366688945457</v>
      </c>
      <c r="BL18">
        <f t="shared" si="21"/>
        <v>8.2031588144505369E-2</v>
      </c>
      <c r="BM18">
        <f t="shared" si="22"/>
        <v>8.2031588144505374</v>
      </c>
    </row>
    <row r="23" spans="2:65" ht="21" customHeight="1" x14ac:dyDescent="0.3"/>
  </sheetData>
  <mergeCells count="3">
    <mergeCell ref="C4:C8"/>
    <mergeCell ref="C9:C13"/>
    <mergeCell ref="C14:C18"/>
  </mergeCells>
  <conditionalFormatting sqref="W4:W18">
    <cfRule type="cellIs" dxfId="0" priority="9" operator="greaterThan">
      <formula>500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CACE-D70B-432C-A7D6-2E1E14E86C6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Data_Premonsoon 2024</vt:lpstr>
      <vt:lpstr>Data_monsoon 2024</vt:lpstr>
      <vt:lpstr>Data_Postmonsoon 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Tarai</dc:creator>
  <cp:lastModifiedBy>ASHOK</cp:lastModifiedBy>
  <dcterms:created xsi:type="dcterms:W3CDTF">2025-12-23T10:10:12Z</dcterms:created>
  <dcterms:modified xsi:type="dcterms:W3CDTF">2026-02-05T13:31:11Z</dcterms:modified>
</cp:coreProperties>
</file>